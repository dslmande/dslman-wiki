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35" windowWidth="23955" windowHeight="13350"/>
  </bookViews>
  <sheets>
    <sheet name="Howto" sheetId="3" r:id="rId1"/>
    <sheet name="TTSH_V3" sheetId="2" r:id="rId2"/>
    <sheet name="Part_list" sheetId="4" r:id="rId3"/>
  </sheets>
  <definedNames>
    <definedName name="misc">Part_list!$A$142:$E$143</definedName>
    <definedName name="npcaps">Part_list!$A$78:$E$100</definedName>
    <definedName name="pcaps">Part_list!$A$104:$E$110</definedName>
    <definedName name="resistors">Part_list!$A$1:$E$73</definedName>
    <definedName name="semis">Part_list!$A$114:$E$139</definedName>
  </definedNames>
  <calcPr calcId="125725"/>
</workbook>
</file>

<file path=xl/calcChain.xml><?xml version="1.0" encoding="utf-8"?>
<calcChain xmlns="http://schemas.openxmlformats.org/spreadsheetml/2006/main">
  <c r="X139" i="2"/>
  <c r="X138"/>
  <c r="X137"/>
  <c r="X136"/>
  <c r="X135"/>
  <c r="X134"/>
  <c r="X133"/>
  <c r="X132"/>
  <c r="X131"/>
  <c r="X130"/>
  <c r="X129"/>
  <c r="X128"/>
  <c r="X127"/>
  <c r="X126"/>
  <c r="X125"/>
  <c r="X124"/>
  <c r="X123"/>
  <c r="X122"/>
  <c r="X121"/>
  <c r="X120"/>
  <c r="X119"/>
  <c r="X118"/>
  <c r="X117"/>
  <c r="X113"/>
  <c r="X112"/>
  <c r="X111"/>
  <c r="X110"/>
  <c r="X109"/>
  <c r="X108"/>
  <c r="X107"/>
  <c r="X105"/>
  <c r="X104"/>
  <c r="X103"/>
  <c r="X102"/>
  <c r="X101"/>
  <c r="X100"/>
  <c r="X99"/>
  <c r="X98"/>
  <c r="X97"/>
  <c r="X96"/>
  <c r="X95"/>
  <c r="X94"/>
  <c r="X93"/>
  <c r="X92"/>
  <c r="X91"/>
  <c r="X90"/>
  <c r="X89"/>
  <c r="X88"/>
  <c r="X87"/>
  <c r="X86"/>
  <c r="X85"/>
  <c r="X84"/>
  <c r="X82"/>
  <c r="X81"/>
  <c r="X77"/>
  <c r="X76"/>
  <c r="X75"/>
  <c r="X74"/>
  <c r="X73"/>
  <c r="X72"/>
  <c r="X71"/>
  <c r="X70"/>
  <c r="X69"/>
  <c r="X68"/>
  <c r="X67"/>
  <c r="X66"/>
  <c r="X65"/>
  <c r="X64"/>
  <c r="X63"/>
  <c r="X62"/>
  <c r="X61"/>
  <c r="X60"/>
  <c r="X59"/>
  <c r="X58"/>
  <c r="X57"/>
  <c r="X56"/>
  <c r="X55"/>
  <c r="X54"/>
  <c r="X53"/>
  <c r="X52"/>
  <c r="X51"/>
  <c r="X50"/>
  <c r="X49"/>
  <c r="X48"/>
  <c r="X47"/>
  <c r="X46"/>
  <c r="X45"/>
  <c r="X44"/>
  <c r="X43"/>
  <c r="X42"/>
  <c r="X41"/>
  <c r="X40"/>
  <c r="X39"/>
  <c r="X38"/>
  <c r="X37"/>
  <c r="X36"/>
  <c r="X35"/>
  <c r="X34"/>
  <c r="X33"/>
  <c r="X32"/>
  <c r="X31"/>
  <c r="X30"/>
  <c r="X29"/>
  <c r="X28"/>
  <c r="X27"/>
  <c r="X26"/>
  <c r="X25"/>
  <c r="X24"/>
  <c r="X23"/>
  <c r="X22"/>
  <c r="X21"/>
  <c r="X20"/>
  <c r="X19"/>
  <c r="X18"/>
  <c r="X17"/>
  <c r="X16"/>
  <c r="X15"/>
  <c r="X14"/>
  <c r="X13"/>
  <c r="X12"/>
  <c r="X11"/>
  <c r="X10"/>
  <c r="X9"/>
  <c r="X8"/>
  <c r="X7"/>
  <c r="X6"/>
  <c r="X5"/>
  <c r="X4"/>
  <c r="X115"/>
  <c r="E82"/>
  <c r="D82"/>
  <c r="C82"/>
  <c r="E81"/>
  <c r="D81"/>
  <c r="C81"/>
  <c r="E139"/>
  <c r="D139"/>
  <c r="C139"/>
  <c r="E138"/>
  <c r="D138"/>
  <c r="C138"/>
  <c r="E137"/>
  <c r="D137"/>
  <c r="C137"/>
  <c r="E136"/>
  <c r="D136"/>
  <c r="C136"/>
  <c r="E135"/>
  <c r="D135"/>
  <c r="C135"/>
  <c r="E134"/>
  <c r="D134"/>
  <c r="C134"/>
  <c r="E133"/>
  <c r="D133"/>
  <c r="C133"/>
  <c r="E132"/>
  <c r="D132"/>
  <c r="C132"/>
  <c r="E131"/>
  <c r="D131"/>
  <c r="C131"/>
  <c r="E130"/>
  <c r="D130"/>
  <c r="C130"/>
  <c r="E129"/>
  <c r="D129"/>
  <c r="C129"/>
  <c r="E128"/>
  <c r="D128"/>
  <c r="C128"/>
  <c r="E127"/>
  <c r="D127"/>
  <c r="C127"/>
  <c r="E126"/>
  <c r="D126"/>
  <c r="C126"/>
  <c r="E125"/>
  <c r="D125"/>
  <c r="C125"/>
  <c r="E124"/>
  <c r="D124"/>
  <c r="C124"/>
  <c r="E123"/>
  <c r="D123"/>
  <c r="C123"/>
  <c r="E122"/>
  <c r="D122"/>
  <c r="C122"/>
  <c r="E121"/>
  <c r="D121"/>
  <c r="C121"/>
  <c r="E120"/>
  <c r="D120"/>
  <c r="C120"/>
  <c r="E119"/>
  <c r="D119"/>
  <c r="C119"/>
  <c r="E118"/>
  <c r="D118"/>
  <c r="C118"/>
  <c r="E117"/>
  <c r="D117"/>
  <c r="C117"/>
  <c r="S11"/>
  <c r="Y104"/>
  <c r="S104"/>
  <c r="E104"/>
  <c r="D104"/>
  <c r="C104"/>
  <c r="E113"/>
  <c r="D113"/>
  <c r="C113"/>
  <c r="E112"/>
  <c r="D112"/>
  <c r="C112"/>
  <c r="E111"/>
  <c r="D111"/>
  <c r="C111"/>
  <c r="E110"/>
  <c r="D110"/>
  <c r="C110"/>
  <c r="E109"/>
  <c r="D109"/>
  <c r="C109"/>
  <c r="E108"/>
  <c r="D108"/>
  <c r="C108"/>
  <c r="E107"/>
  <c r="D107"/>
  <c r="C107"/>
  <c r="S112"/>
  <c r="Y112"/>
  <c r="E105"/>
  <c r="D105"/>
  <c r="C105"/>
  <c r="E103"/>
  <c r="D103"/>
  <c r="C103"/>
  <c r="E102"/>
  <c r="D102"/>
  <c r="C102"/>
  <c r="E101"/>
  <c r="D101"/>
  <c r="C101"/>
  <c r="E100"/>
  <c r="D100"/>
  <c r="C100"/>
  <c r="E99"/>
  <c r="D99"/>
  <c r="C99"/>
  <c r="E98"/>
  <c r="D98"/>
  <c r="C98"/>
  <c r="E97"/>
  <c r="D97"/>
  <c r="C97"/>
  <c r="E96"/>
  <c r="D96"/>
  <c r="C96"/>
  <c r="E95"/>
  <c r="D95"/>
  <c r="C95"/>
  <c r="E94"/>
  <c r="D94"/>
  <c r="C94"/>
  <c r="E93"/>
  <c r="D93"/>
  <c r="C93"/>
  <c r="E92"/>
  <c r="D92"/>
  <c r="C92"/>
  <c r="E91"/>
  <c r="D91"/>
  <c r="C91"/>
  <c r="E90"/>
  <c r="D90"/>
  <c r="C90"/>
  <c r="E89"/>
  <c r="D89"/>
  <c r="C89"/>
  <c r="E88"/>
  <c r="D88"/>
  <c r="C88"/>
  <c r="E87"/>
  <c r="D87"/>
  <c r="C87"/>
  <c r="E86"/>
  <c r="D86"/>
  <c r="C86"/>
  <c r="E85"/>
  <c r="D85"/>
  <c r="C85"/>
  <c r="E84"/>
  <c r="D84"/>
  <c r="C84"/>
  <c r="C4"/>
  <c r="D4"/>
  <c r="E4"/>
  <c r="C5"/>
  <c r="D5"/>
  <c r="E5"/>
  <c r="C6"/>
  <c r="D6"/>
  <c r="E6"/>
  <c r="C7"/>
  <c r="D7"/>
  <c r="E7"/>
  <c r="C8"/>
  <c r="D8"/>
  <c r="E8"/>
  <c r="C9"/>
  <c r="D9"/>
  <c r="E9"/>
  <c r="C10"/>
  <c r="D10"/>
  <c r="E10"/>
  <c r="C11"/>
  <c r="D11"/>
  <c r="E11"/>
  <c r="C12"/>
  <c r="D12"/>
  <c r="E12"/>
  <c r="C13"/>
  <c r="D13"/>
  <c r="E13"/>
  <c r="C14"/>
  <c r="D14"/>
  <c r="E14"/>
  <c r="C15"/>
  <c r="D15"/>
  <c r="E15"/>
  <c r="C16"/>
  <c r="D16"/>
  <c r="E16"/>
  <c r="C17"/>
  <c r="D17"/>
  <c r="E17"/>
  <c r="C18"/>
  <c r="D18"/>
  <c r="E18"/>
  <c r="C19"/>
  <c r="D19"/>
  <c r="E19"/>
  <c r="C20"/>
  <c r="D20"/>
  <c r="E20"/>
  <c r="C22"/>
  <c r="D22"/>
  <c r="E22"/>
  <c r="C23"/>
  <c r="D23"/>
  <c r="E23"/>
  <c r="C24"/>
  <c r="D24"/>
  <c r="E24"/>
  <c r="C25"/>
  <c r="D25"/>
  <c r="E25"/>
  <c r="C26"/>
  <c r="D26"/>
  <c r="E26"/>
  <c r="C27"/>
  <c r="D27"/>
  <c r="E27"/>
  <c r="C28"/>
  <c r="D28"/>
  <c r="E28"/>
  <c r="C29"/>
  <c r="D29"/>
  <c r="E29"/>
  <c r="C30"/>
  <c r="D30"/>
  <c r="E30"/>
  <c r="C31"/>
  <c r="D31"/>
  <c r="E31"/>
  <c r="C32"/>
  <c r="D32"/>
  <c r="E32"/>
  <c r="C33"/>
  <c r="D33"/>
  <c r="E33"/>
  <c r="C34"/>
  <c r="D34"/>
  <c r="E34"/>
  <c r="C35"/>
  <c r="D35"/>
  <c r="E35"/>
  <c r="C36"/>
  <c r="D36"/>
  <c r="E36"/>
  <c r="C37"/>
  <c r="D37"/>
  <c r="E37"/>
  <c r="C38"/>
  <c r="D38"/>
  <c r="E38"/>
  <c r="C39"/>
  <c r="D39"/>
  <c r="E39"/>
  <c r="C40"/>
  <c r="D40"/>
  <c r="E40"/>
  <c r="C41"/>
  <c r="D41"/>
  <c r="E41"/>
  <c r="C42"/>
  <c r="D42"/>
  <c r="E42"/>
  <c r="C43"/>
  <c r="D43"/>
  <c r="E43"/>
  <c r="C44"/>
  <c r="D44"/>
  <c r="E44"/>
  <c r="C45"/>
  <c r="D45"/>
  <c r="E45"/>
  <c r="C46"/>
  <c r="D46"/>
  <c r="E46"/>
  <c r="C47"/>
  <c r="D47"/>
  <c r="E47"/>
  <c r="C48"/>
  <c r="D48"/>
  <c r="E48"/>
  <c r="C49"/>
  <c r="D49"/>
  <c r="E49"/>
  <c r="C50"/>
  <c r="D50"/>
  <c r="E50"/>
  <c r="C51"/>
  <c r="D51"/>
  <c r="E51"/>
  <c r="C52"/>
  <c r="D52"/>
  <c r="E52"/>
  <c r="C53"/>
  <c r="D53"/>
  <c r="E53"/>
  <c r="C54"/>
  <c r="D54"/>
  <c r="E54"/>
  <c r="C55"/>
  <c r="D55"/>
  <c r="E55"/>
  <c r="C56"/>
  <c r="D56"/>
  <c r="E56"/>
  <c r="C57"/>
  <c r="D57"/>
  <c r="E57"/>
  <c r="C58"/>
  <c r="D58"/>
  <c r="E58"/>
  <c r="C59"/>
  <c r="D59"/>
  <c r="E59"/>
  <c r="C60"/>
  <c r="D60"/>
  <c r="E60"/>
  <c r="C61"/>
  <c r="D61"/>
  <c r="E61"/>
  <c r="C62"/>
  <c r="D62"/>
  <c r="E62"/>
  <c r="C63"/>
  <c r="D63"/>
  <c r="E63"/>
  <c r="C64"/>
  <c r="D64"/>
  <c r="E64"/>
  <c r="C65"/>
  <c r="D65"/>
  <c r="E65"/>
  <c r="C66"/>
  <c r="D66"/>
  <c r="E66"/>
  <c r="C67"/>
  <c r="D67"/>
  <c r="E67"/>
  <c r="C68"/>
  <c r="D68"/>
  <c r="E68"/>
  <c r="C69"/>
  <c r="D69"/>
  <c r="E69"/>
  <c r="C70"/>
  <c r="D70"/>
  <c r="E70"/>
  <c r="C71"/>
  <c r="D71"/>
  <c r="E71"/>
  <c r="C72"/>
  <c r="D72"/>
  <c r="E72"/>
  <c r="C73"/>
  <c r="D73"/>
  <c r="E73"/>
  <c r="C74"/>
  <c r="D74"/>
  <c r="E74"/>
  <c r="C75"/>
  <c r="D75"/>
  <c r="E75"/>
  <c r="C76"/>
  <c r="D76"/>
  <c r="E76"/>
  <c r="C77"/>
  <c r="D77"/>
  <c r="E77"/>
  <c r="Y107"/>
  <c r="S82"/>
  <c r="S81"/>
  <c r="S139"/>
  <c r="S138"/>
  <c r="S137"/>
  <c r="S136"/>
  <c r="S135"/>
  <c r="S134"/>
  <c r="S133"/>
  <c r="S132"/>
  <c r="S131"/>
  <c r="S130"/>
  <c r="S129"/>
  <c r="S128"/>
  <c r="S127"/>
  <c r="S126"/>
  <c r="S125"/>
  <c r="S124"/>
  <c r="S123"/>
  <c r="S122"/>
  <c r="S121"/>
  <c r="S120"/>
  <c r="S119"/>
  <c r="S118"/>
  <c r="S117"/>
  <c r="S115"/>
  <c r="S113"/>
  <c r="S111"/>
  <c r="S110"/>
  <c r="S109"/>
  <c r="S108"/>
  <c r="S105"/>
  <c r="S103"/>
  <c r="S102"/>
  <c r="S101"/>
  <c r="S100"/>
  <c r="S99"/>
  <c r="S98"/>
  <c r="S97"/>
  <c r="S96"/>
  <c r="S95"/>
  <c r="S94"/>
  <c r="S93"/>
  <c r="S92"/>
  <c r="S91"/>
  <c r="S90"/>
  <c r="S89"/>
  <c r="S88"/>
  <c r="S87"/>
  <c r="S86"/>
  <c r="S85"/>
  <c r="S84"/>
  <c r="S77"/>
  <c r="S76"/>
  <c r="S75"/>
  <c r="S74"/>
  <c r="S73"/>
  <c r="S72"/>
  <c r="S71"/>
  <c r="S70"/>
  <c r="S69"/>
  <c r="S68"/>
  <c r="S67"/>
  <c r="S66"/>
  <c r="S65"/>
  <c r="S64"/>
  <c r="S63"/>
  <c r="S62"/>
  <c r="S61"/>
  <c r="S60"/>
  <c r="S59"/>
  <c r="S58"/>
  <c r="S57"/>
  <c r="S56"/>
  <c r="S55"/>
  <c r="S54"/>
  <c r="S53"/>
  <c r="S52"/>
  <c r="S51"/>
  <c r="S50"/>
  <c r="S49"/>
  <c r="S48"/>
  <c r="S47"/>
  <c r="S46"/>
  <c r="S45"/>
  <c r="S44"/>
  <c r="S43"/>
  <c r="S42"/>
  <c r="S41"/>
  <c r="S40"/>
  <c r="S39"/>
  <c r="S38"/>
  <c r="S37"/>
  <c r="S36"/>
  <c r="S35"/>
  <c r="S34"/>
  <c r="S33"/>
  <c r="S32"/>
  <c r="S31"/>
  <c r="S30"/>
  <c r="S29"/>
  <c r="S28"/>
  <c r="S27"/>
  <c r="S26"/>
  <c r="S25"/>
  <c r="S24"/>
  <c r="S23"/>
  <c r="S22"/>
  <c r="S21"/>
  <c r="S20"/>
  <c r="S19"/>
  <c r="S18"/>
  <c r="S17"/>
  <c r="S16"/>
  <c r="S15"/>
  <c r="S14"/>
  <c r="S13"/>
  <c r="S12"/>
  <c r="S10"/>
  <c r="S9"/>
  <c r="S8"/>
  <c r="S7"/>
  <c r="S6"/>
  <c r="S5"/>
  <c r="S4"/>
  <c r="Y82"/>
  <c r="Y81"/>
  <c r="Y139"/>
  <c r="Y138"/>
  <c r="Y137"/>
  <c r="Y136"/>
  <c r="Y135"/>
  <c r="Y134"/>
  <c r="Y133"/>
  <c r="Y132"/>
  <c r="Y131"/>
  <c r="Y130"/>
  <c r="Y129"/>
  <c r="Y128"/>
  <c r="Y127"/>
  <c r="Y126"/>
  <c r="Y125"/>
  <c r="Y124"/>
  <c r="Y123"/>
  <c r="Y122"/>
  <c r="Y121"/>
  <c r="Y120"/>
  <c r="Y119"/>
  <c r="Y118"/>
  <c r="Y117"/>
  <c r="Y115"/>
  <c r="Y114"/>
  <c r="Y113"/>
  <c r="Y111"/>
  <c r="Y110"/>
  <c r="Y109"/>
  <c r="Y108"/>
  <c r="Y105"/>
  <c r="Y103"/>
  <c r="Y102"/>
  <c r="Y101"/>
  <c r="Y100"/>
  <c r="Y99"/>
  <c r="Y98"/>
  <c r="Y97"/>
  <c r="Y96"/>
  <c r="Y95"/>
  <c r="Y94"/>
  <c r="Y93"/>
  <c r="Y92"/>
  <c r="Y91"/>
  <c r="Y90"/>
  <c r="Y89"/>
  <c r="Y88"/>
  <c r="Y87"/>
  <c r="Y86"/>
  <c r="Y85"/>
  <c r="Y84"/>
  <c r="Y77"/>
  <c r="Y76"/>
  <c r="Y75"/>
  <c r="Y74"/>
  <c r="Y73"/>
  <c r="Y72"/>
  <c r="Y71"/>
  <c r="Y70"/>
  <c r="Y69"/>
  <c r="Y68"/>
  <c r="Y67"/>
  <c r="Y66"/>
  <c r="Y65"/>
  <c r="Y64"/>
  <c r="Y63"/>
  <c r="Y62"/>
  <c r="Y61"/>
  <c r="Y60"/>
  <c r="Y59"/>
  <c r="Y58"/>
  <c r="Y57"/>
  <c r="Y56"/>
  <c r="Y55"/>
  <c r="Y54"/>
  <c r="Y53"/>
  <c r="Y52"/>
  <c r="Y51"/>
  <c r="Y50"/>
  <c r="Y49"/>
  <c r="Y48"/>
  <c r="Y47"/>
  <c r="Y46"/>
  <c r="Y45"/>
  <c r="Y44"/>
  <c r="Y43"/>
  <c r="Y42"/>
  <c r="Y41"/>
  <c r="Y40"/>
  <c r="Y39"/>
  <c r="Y38"/>
  <c r="Y37"/>
  <c r="Y36"/>
  <c r="Y35"/>
  <c r="Y34"/>
  <c r="Y33"/>
  <c r="Y32"/>
  <c r="Y31"/>
  <c r="Y30"/>
  <c r="Y29"/>
  <c r="Y28"/>
  <c r="Y27"/>
  <c r="Y26"/>
  <c r="Y25"/>
  <c r="Y24"/>
  <c r="Y23"/>
  <c r="Y22"/>
  <c r="Y21"/>
  <c r="Y20"/>
  <c r="Y19"/>
  <c r="Y18"/>
  <c r="Y17"/>
  <c r="Y16"/>
  <c r="Y15"/>
  <c r="Y14"/>
  <c r="Y13"/>
  <c r="Y12"/>
  <c r="Y10"/>
  <c r="Y9"/>
  <c r="Y8"/>
  <c r="Y7"/>
  <c r="Y6"/>
  <c r="Y5"/>
  <c r="Y4"/>
  <c r="Y11" l="1"/>
</calcChain>
</file>

<file path=xl/comments1.xml><?xml version="1.0" encoding="utf-8"?>
<comments xmlns="http://schemas.openxmlformats.org/spreadsheetml/2006/main">
  <authors>
    <author>Tony</author>
  </authors>
  <commentList>
    <comment ref="R12" authorId="0">
      <text>
        <r>
          <rPr>
            <sz val="9"/>
            <color indexed="81"/>
            <rFont val="Tahoma"/>
            <family val="2"/>
          </rPr>
          <t xml:space="preserve">On back side, appears to be part of RM, but is limiting resistor for the power on LED.  </t>
        </r>
      </text>
    </comment>
  </commentList>
</comments>
</file>

<file path=xl/sharedStrings.xml><?xml version="1.0" encoding="utf-8"?>
<sst xmlns="http://schemas.openxmlformats.org/spreadsheetml/2006/main" count="869" uniqueCount="410">
  <si>
    <t>660-MF1/4DC2200F</t>
  </si>
  <si>
    <t>660-MF1/4DC2400F</t>
  </si>
  <si>
    <t>660-MF1/4DC3300F</t>
  </si>
  <si>
    <t>660-MF1/4DC6800F</t>
  </si>
  <si>
    <t>100k</t>
  </si>
  <si>
    <t>10k</t>
  </si>
  <si>
    <t>10M</t>
  </si>
  <si>
    <t>120k</t>
  </si>
  <si>
    <t>121k</t>
  </si>
  <si>
    <t>12k</t>
  </si>
  <si>
    <t>660-MF1/4DC1202F</t>
  </si>
  <si>
    <t>150k</t>
  </si>
  <si>
    <t>660-MF1/4DC1503F</t>
  </si>
  <si>
    <t>15k</t>
  </si>
  <si>
    <t>660-MF1/4DC1502F</t>
  </si>
  <si>
    <t>180k</t>
  </si>
  <si>
    <t>660-MF1/4DC1803F</t>
  </si>
  <si>
    <t>182k</t>
  </si>
  <si>
    <t>660-MF1/4DC1823F</t>
  </si>
  <si>
    <t>18k</t>
  </si>
  <si>
    <t>660-MF1/4DC1802F</t>
  </si>
  <si>
    <t>196k</t>
  </si>
  <si>
    <t>660-MF1/4DC1963F</t>
  </si>
  <si>
    <t>1k</t>
  </si>
  <si>
    <t>1k2</t>
  </si>
  <si>
    <t>660-MF1/4DCT52R1201F</t>
  </si>
  <si>
    <t>1k5</t>
  </si>
  <si>
    <t>660-MF1/4DC1501F</t>
  </si>
  <si>
    <t>1k8</t>
  </si>
  <si>
    <t>660-MF1/4DC1801F</t>
  </si>
  <si>
    <t>1k87*</t>
  </si>
  <si>
    <t>1M</t>
  </si>
  <si>
    <t>660-MF1/4DC1004F</t>
  </si>
  <si>
    <t>1M2</t>
  </si>
  <si>
    <t>1M5</t>
  </si>
  <si>
    <t>220k</t>
  </si>
  <si>
    <t>660-MF1/4DC2203F</t>
  </si>
  <si>
    <t>22k</t>
  </si>
  <si>
    <t>660-MF1/4DC2202F</t>
  </si>
  <si>
    <t>22M</t>
  </si>
  <si>
    <t>23k2</t>
  </si>
  <si>
    <t>660-MF1/4DC2322F</t>
  </si>
  <si>
    <t>270k</t>
  </si>
  <si>
    <t>660-MF1/4DC2703F</t>
  </si>
  <si>
    <t>27k</t>
  </si>
  <si>
    <t>660-MF1/4DC2702F</t>
  </si>
  <si>
    <t>2k2</t>
  </si>
  <si>
    <t>660-MF1/4DC2201F</t>
  </si>
  <si>
    <t>2k4</t>
  </si>
  <si>
    <t>660-MF1/4DC2401F</t>
  </si>
  <si>
    <t>2k7</t>
  </si>
  <si>
    <t>660-MF1/4DC2701F</t>
  </si>
  <si>
    <t>2M2</t>
  </si>
  <si>
    <t>30k1</t>
  </si>
  <si>
    <t>660-MF1/4DC3012F</t>
  </si>
  <si>
    <t>33k</t>
  </si>
  <si>
    <t>660-MF1/4DC3302F</t>
  </si>
  <si>
    <t>39k</t>
  </si>
  <si>
    <t>660-MF1/4DC3902F</t>
  </si>
  <si>
    <t>3k3</t>
  </si>
  <si>
    <t>660-MF1/4DC3301F</t>
  </si>
  <si>
    <t>3k32</t>
  </si>
  <si>
    <t>660-MF1/4DC3321F</t>
  </si>
  <si>
    <t>3k9</t>
  </si>
  <si>
    <t>3M3</t>
  </si>
  <si>
    <t>40k2</t>
  </si>
  <si>
    <t>660-MF1/4DC4022F</t>
  </si>
  <si>
    <t>45k3</t>
  </si>
  <si>
    <t>660-MF1/4DC4532F</t>
  </si>
  <si>
    <t>470k</t>
  </si>
  <si>
    <t>660-MF1/4DC4703F</t>
  </si>
  <si>
    <t>47k</t>
  </si>
  <si>
    <t>660-MF1/4DC4702F</t>
  </si>
  <si>
    <t>4k7</t>
  </si>
  <si>
    <t>660-MF1/4DC4701F</t>
  </si>
  <si>
    <t>4M7</t>
  </si>
  <si>
    <t>54k9</t>
  </si>
  <si>
    <t>660-MF1/4DC5492F</t>
  </si>
  <si>
    <t>56k</t>
  </si>
  <si>
    <t>660-MF1/4DC5602F</t>
  </si>
  <si>
    <t>5k36</t>
  </si>
  <si>
    <t>660-MF1/4DC5361F</t>
  </si>
  <si>
    <t>5M6</t>
  </si>
  <si>
    <t>61k9</t>
  </si>
  <si>
    <t>660-MF1/4DC6192F</t>
  </si>
  <si>
    <t>680k</t>
  </si>
  <si>
    <t>660-MF1/4DC6803F</t>
  </si>
  <si>
    <t>68k</t>
  </si>
  <si>
    <t>660-MF1/4DC6802F</t>
  </si>
  <si>
    <t>68k1</t>
  </si>
  <si>
    <t>660-MF1/4DC6812F</t>
  </si>
  <si>
    <t>6k8</t>
  </si>
  <si>
    <t>660-MF1/4DC6801F</t>
  </si>
  <si>
    <t>82k</t>
  </si>
  <si>
    <t>660-MF1/4DC8202F</t>
  </si>
  <si>
    <t>84k5</t>
  </si>
  <si>
    <t>660-MF1/4DC8452F</t>
  </si>
  <si>
    <t>8k2</t>
  </si>
  <si>
    <t>660-MF1/4DC8201F</t>
  </si>
  <si>
    <t>9k1</t>
  </si>
  <si>
    <t>10r</t>
  </si>
  <si>
    <t>56r</t>
  </si>
  <si>
    <t>100r</t>
  </si>
  <si>
    <t>120r</t>
  </si>
  <si>
    <t>220r</t>
  </si>
  <si>
    <t>240r</t>
  </si>
  <si>
    <t>330r</t>
  </si>
  <si>
    <t>470r</t>
  </si>
  <si>
    <t>680r</t>
  </si>
  <si>
    <t>820r</t>
  </si>
  <si>
    <t>1k37</t>
  </si>
  <si>
    <t>660-MF1/4DC1371F</t>
  </si>
  <si>
    <t>1k65</t>
  </si>
  <si>
    <t>660-MF1/4DC1651F</t>
  </si>
  <si>
    <t>8k87</t>
  </si>
  <si>
    <t>33k2</t>
  </si>
  <si>
    <t>660-MF1/4DC3322F</t>
  </si>
  <si>
    <t>475k</t>
  </si>
  <si>
    <t>660-MF1/4DC4753F</t>
  </si>
  <si>
    <t>660-MF1/4DC8871F</t>
  </si>
  <si>
    <t>3x4027-1</t>
  </si>
  <si>
    <t>DC-DC</t>
  </si>
  <si>
    <t>VCO1</t>
  </si>
  <si>
    <t>VCO2</t>
  </si>
  <si>
    <t>VCO3</t>
  </si>
  <si>
    <t>EG</t>
  </si>
  <si>
    <t>P / RM / EF</t>
  </si>
  <si>
    <t>Mixer / Rev</t>
  </si>
  <si>
    <t>Noise</t>
  </si>
  <si>
    <t>S&amp;H / Clock / SW</t>
  </si>
  <si>
    <t>Amp</t>
  </si>
  <si>
    <t>LED</t>
  </si>
  <si>
    <t>1N4148</t>
  </si>
  <si>
    <t>5p</t>
  </si>
  <si>
    <t>680p</t>
  </si>
  <si>
    <t>10n</t>
  </si>
  <si>
    <t>100n</t>
  </si>
  <si>
    <t>10u</t>
  </si>
  <si>
    <t>100p</t>
  </si>
  <si>
    <t>10p</t>
  </si>
  <si>
    <t>12p</t>
  </si>
  <si>
    <t>15n</t>
  </si>
  <si>
    <t>1n</t>
  </si>
  <si>
    <t>20p</t>
  </si>
  <si>
    <t>220n</t>
  </si>
  <si>
    <t>220p</t>
  </si>
  <si>
    <t>22n</t>
  </si>
  <si>
    <t>330p</t>
  </si>
  <si>
    <t>3n3</t>
  </si>
  <si>
    <t>3p3</t>
  </si>
  <si>
    <t>4n7</t>
  </si>
  <si>
    <t>1u</t>
  </si>
  <si>
    <t>1u5</t>
  </si>
  <si>
    <t>100uh</t>
  </si>
  <si>
    <t>CA3046</t>
  </si>
  <si>
    <t>2N5459</t>
  </si>
  <si>
    <t>2N4125</t>
  </si>
  <si>
    <t>2N3904</t>
  </si>
  <si>
    <t>2N3906</t>
  </si>
  <si>
    <t>2N4392</t>
  </si>
  <si>
    <t>MJE182</t>
  </si>
  <si>
    <t>BC337</t>
  </si>
  <si>
    <t>LM301</t>
  </si>
  <si>
    <t>MJE172</t>
  </si>
  <si>
    <t>2N4870</t>
  </si>
  <si>
    <t>2N3954</t>
  </si>
  <si>
    <t>2N3958</t>
  </si>
  <si>
    <t>2N5172</t>
  </si>
  <si>
    <t>2N5460</t>
  </si>
  <si>
    <t>LM2991</t>
  </si>
  <si>
    <t>TL1963A</t>
  </si>
  <si>
    <t>DIP14 socket</t>
  </si>
  <si>
    <t>DIP8 socket</t>
  </si>
  <si>
    <t>VCA</t>
  </si>
  <si>
    <t>VCF Main</t>
  </si>
  <si>
    <t>1k3</t>
  </si>
  <si>
    <t>660-MF1/4DC1301F</t>
  </si>
  <si>
    <t>13K</t>
  </si>
  <si>
    <t>660-MF1/4DC1302F</t>
  </si>
  <si>
    <t>660-MF1/4DC1212F</t>
  </si>
  <si>
    <t>12k1</t>
  </si>
  <si>
    <t>2N5087</t>
  </si>
  <si>
    <t>LM1458</t>
  </si>
  <si>
    <t>LM3900N</t>
  </si>
  <si>
    <t>Voltage Proc</t>
  </si>
  <si>
    <t>TTSH V3 Quick Build BOM</t>
  </si>
  <si>
    <t>QTY from Main BOM</t>
  </si>
  <si>
    <t>Inductor / Coil</t>
  </si>
  <si>
    <t>Main Board Sections</t>
  </si>
  <si>
    <t>OffBoard Sections</t>
  </si>
  <si>
    <t>Total Main Board</t>
  </si>
  <si>
    <t>Total All Sections</t>
  </si>
  <si>
    <t>Value</t>
  </si>
  <si>
    <t>Ordering Code</t>
  </si>
  <si>
    <t>Description</t>
  </si>
  <si>
    <t>Source</t>
  </si>
  <si>
    <t>Mouser</t>
  </si>
  <si>
    <t>604-WP1503GC</t>
  </si>
  <si>
    <t>593-2800G</t>
  </si>
  <si>
    <t>Lens for 5MM LED - Green</t>
  </si>
  <si>
    <t>Xicon</t>
  </si>
  <si>
    <t>10R</t>
  </si>
  <si>
    <t>271-10-RC</t>
  </si>
  <si>
    <t>Resistor, through hole axial lead, .25W 1% Metal Film</t>
  </si>
  <si>
    <t>56R</t>
  </si>
  <si>
    <t>271-56-RC</t>
  </si>
  <si>
    <t>KOA Speer</t>
  </si>
  <si>
    <t>100R</t>
  </si>
  <si>
    <t>660-MF1/4DC1000F</t>
  </si>
  <si>
    <t>120R</t>
  </si>
  <si>
    <t>271-120-RC</t>
  </si>
  <si>
    <t>220R</t>
  </si>
  <si>
    <t>240R</t>
  </si>
  <si>
    <t>330R</t>
  </si>
  <si>
    <t>470R</t>
  </si>
  <si>
    <t>660-MF1/4DC4700F</t>
  </si>
  <si>
    <t>680R</t>
  </si>
  <si>
    <t>820R</t>
  </si>
  <si>
    <t>660-MF1/4DC8200F</t>
  </si>
  <si>
    <t>660-MF1/4DC1001F</t>
  </si>
  <si>
    <t>660-MF1/4DC3901F</t>
  </si>
  <si>
    <t>660-MF1/4DC9101F</t>
  </si>
  <si>
    <t>660-MF1/4DC1002F</t>
  </si>
  <si>
    <t>660-MF1/4DC1003F</t>
  </si>
  <si>
    <t>660-MF1/4DC1203F</t>
  </si>
  <si>
    <t>660-MF1/4DC1213F</t>
  </si>
  <si>
    <t>Yageo</t>
  </si>
  <si>
    <t>603-MFR-25FTE52-1M2</t>
  </si>
  <si>
    <t>603-MFR-25FTE52-1M5</t>
  </si>
  <si>
    <t>603-MFR-25FTE52-2M2</t>
  </si>
  <si>
    <t xml:space="preserve">603-MFR-25FTE52-3M3 </t>
  </si>
  <si>
    <t xml:space="preserve">603-MFR-25FTE52-4M7 </t>
  </si>
  <si>
    <t>603-MFR-25FTE52-5M6</t>
  </si>
  <si>
    <t>603-MFR-25FRF52-10M</t>
  </si>
  <si>
    <t>603-MFR-25FTE52-22M</t>
  </si>
  <si>
    <t>Resistor, through hole axial lead, 3300ppm Tempco</t>
  </si>
  <si>
    <t>Thonk, Synthcube</t>
  </si>
  <si>
    <t>1K3</t>
  </si>
  <si>
    <t>13k</t>
  </si>
  <si>
    <t>TDK</t>
  </si>
  <si>
    <t>810-FK28C0G1H3R3C</t>
  </si>
  <si>
    <t>Multilayer Ceramic Capacitor (MLCC), through hole, radial leads, LS: 5mm, 50VDC, C0G (NP0)</t>
  </si>
  <si>
    <t>810-FK28C0G1H050C</t>
  </si>
  <si>
    <t>810-FK28C0G1H100D</t>
  </si>
  <si>
    <t>810-FK28C0G1H120J</t>
  </si>
  <si>
    <t>810-FK28C0G1H220J</t>
  </si>
  <si>
    <t>33p</t>
  </si>
  <si>
    <t>810-FK28C0G1H330J</t>
  </si>
  <si>
    <t>47p</t>
  </si>
  <si>
    <t>810-FK28C0G1H470J</t>
  </si>
  <si>
    <t>810-FK28C0G1H101J</t>
  </si>
  <si>
    <t>810-FK28C0G1H221J</t>
  </si>
  <si>
    <t>810-FK28C0G1H331J</t>
  </si>
  <si>
    <t>Vishay</t>
  </si>
  <si>
    <t>594-K102J15C0GF53H5</t>
  </si>
  <si>
    <t>2n2</t>
  </si>
  <si>
    <t>810-FK28C0G1H222J</t>
  </si>
  <si>
    <t>810-FK28C0G1H332J</t>
  </si>
  <si>
    <t>810-FK28C0G1H472J</t>
  </si>
  <si>
    <t>810-FK28C0G1H103J</t>
  </si>
  <si>
    <t>810-FK24C0G1H153J</t>
  </si>
  <si>
    <t>810-FK26C0G1H104J</t>
  </si>
  <si>
    <t xml:space="preserve">810-FK22C0G1H224J </t>
  </si>
  <si>
    <t>Kemet</t>
  </si>
  <si>
    <t>80-C0805C104M5R</t>
  </si>
  <si>
    <t>Multilayer Ceramic Capacitor (MLCC),SMD 0805, 50VDC, X7R</t>
  </si>
  <si>
    <t>Wima</t>
  </si>
  <si>
    <t>505-FKP2680/100/2.5</t>
  </si>
  <si>
    <t>Polypropylene film capacitor, through hole, radial leads, LS: 5mm, 2.5%, 100VDC, FKP series</t>
  </si>
  <si>
    <t>Epcos</t>
  </si>
  <si>
    <t>871-B32529C105J</t>
  </si>
  <si>
    <t>Polypropylene film capacitor, through hole, radial leads, LS: 5mm, 5%, 63VDC, Box Cap</t>
  </si>
  <si>
    <t>replaces 50p NP caps</t>
  </si>
  <si>
    <t>100n(SMD)</t>
  </si>
  <si>
    <t>10u(short)</t>
  </si>
  <si>
    <t>10u(hitemp)</t>
  </si>
  <si>
    <t>47u(hitemp)</t>
  </si>
  <si>
    <t>short case caps should be used here</t>
  </si>
  <si>
    <t>higher temp rating due to proximity to regulators</t>
  </si>
  <si>
    <t>Nichicon</t>
  </si>
  <si>
    <t>Panasonic</t>
  </si>
  <si>
    <t>647-ULD2G1R5MED</t>
  </si>
  <si>
    <t>Polarized Electrolytic Capacitor, through hole, radial leads, LS: 2.5mm, 20% 400VDC, length 11mm, +105c</t>
  </si>
  <si>
    <t>667-ECA-1VM100I</t>
  </si>
  <si>
    <t>Polarized Electrolytic Capacitor, through hole, radial leads, LS: 2.5mm, 20% 35VDC, length 11mm, +85c</t>
  </si>
  <si>
    <t xml:space="preserve">667-EEU-EB1H100SH </t>
  </si>
  <si>
    <t>Polarized Electrolytic Capacitor, through hole, radial leads, LS: 2.5mm, 20% 50VDC, length 11mm, +105c</t>
  </si>
  <si>
    <t xml:space="preserve">667-EEU-HD1V470 </t>
  </si>
  <si>
    <t>Polarized Electrolytic Capacitor, through hole, radial leads, LS: 2.5mm, 20% 35VDC, length 11mm, +105c</t>
  </si>
  <si>
    <t>replaces 20p NP caps</t>
  </si>
  <si>
    <t>replaces 30p NP caps</t>
  </si>
  <si>
    <t>replaces 2n NP caps</t>
  </si>
  <si>
    <t>505-M10.022/250/10</t>
  </si>
  <si>
    <t>Polypropylene film capacitor, through hole, radial leads, LS: 7.5mm, 10%, 250VDC, MKP series</t>
  </si>
  <si>
    <t>647-UVY2D0R1MED</t>
  </si>
  <si>
    <t>Polarized Electrolytic Capacitor, through hole, radial leads, LS: 2.5mm, 20% 50VDC, length 11mm, +85c</t>
  </si>
  <si>
    <t>Polarized Electrolytic Capacitor, through hole, radial leads, LS: 2.5mm, 20% 200VDC, length 11mm, +105c</t>
  </si>
  <si>
    <t>555-RFS50V010MF3#5</t>
  </si>
  <si>
    <t>Elna</t>
  </si>
  <si>
    <t>100n(film)</t>
  </si>
  <si>
    <t>PET film capacitor, through hole, radial leads, LS: 5mm, 5%, 100VDC, Box Cap</t>
  </si>
  <si>
    <t>871-B32529C1104J189</t>
  </si>
  <si>
    <t>22k, 1m2</t>
  </si>
  <si>
    <t>100r, 1k5, 4k7, 10k, 15k</t>
  </si>
  <si>
    <t>Standing Resistors</t>
  </si>
  <si>
    <t>220r, 47k</t>
  </si>
  <si>
    <t>667-ECE-A1HKS100</t>
  </si>
  <si>
    <t>Polarized Electrolytic Capacitor, through hole, radial leads, LS: 2.5mm, 20% 50VDC, length 5mm, +85c</t>
  </si>
  <si>
    <t>Motorola</t>
  </si>
  <si>
    <t>Fairchild Semiconductor</t>
  </si>
  <si>
    <t>Harris</t>
  </si>
  <si>
    <t xml:space="preserve">512-1N4148 </t>
  </si>
  <si>
    <t>Kingbright</t>
  </si>
  <si>
    <t>VCC</t>
  </si>
  <si>
    <t xml:space="preserve">512-BC33740TA </t>
  </si>
  <si>
    <t>512-MJE182STU</t>
  </si>
  <si>
    <t>BC558</t>
  </si>
  <si>
    <t>512-BC558BTA</t>
  </si>
  <si>
    <t xml:space="preserve">512-2N3904TA </t>
  </si>
  <si>
    <t xml:space="preserve">512-2N3906TFR </t>
  </si>
  <si>
    <t>Central Semconductor</t>
  </si>
  <si>
    <t>610-2N5460</t>
  </si>
  <si>
    <t>610-2N4392</t>
  </si>
  <si>
    <t xml:space="preserve">610-2N5172 </t>
  </si>
  <si>
    <t>Texas Instruments</t>
  </si>
  <si>
    <t>926-LM301AN</t>
  </si>
  <si>
    <t>TL071</t>
  </si>
  <si>
    <t xml:space="preserve">595-TL071IP </t>
  </si>
  <si>
    <t xml:space="preserve">926-LM1458N/NOPB </t>
  </si>
  <si>
    <t>595-LM3900N</t>
  </si>
  <si>
    <t xml:space="preserve">595-TL1963AKTTR </t>
  </si>
  <si>
    <t>926-LM2991S/NOPB</t>
  </si>
  <si>
    <t>Aftermarket</t>
  </si>
  <si>
    <t>Dual N Channel JFET, CAN-6</t>
  </si>
  <si>
    <t>Unijunction Transistor, TO-92</t>
  </si>
  <si>
    <t>PNP General Purpose Amplifier, TO-92</t>
  </si>
  <si>
    <t>N Channel General Purpose Amplifier, TO-92</t>
  </si>
  <si>
    <t>Gen'l purpose diode, through hole, axial leads</t>
  </si>
  <si>
    <t>LED, 5mm, green diffused 2mcd , through hole, radial leads</t>
  </si>
  <si>
    <t>NPN Epitaxial Transitor, TO-126</t>
  </si>
  <si>
    <t>512-MJE172STU</t>
  </si>
  <si>
    <t>PNP Epitaxial Transistor, TO-126</t>
  </si>
  <si>
    <t>PNP General Purpose Transistor, TO-92</t>
  </si>
  <si>
    <t>NPN General Purpose Transistor, TO-92</t>
  </si>
  <si>
    <t>P Channel JFET, TO-92</t>
  </si>
  <si>
    <t>N Channel JFET, TO18</t>
  </si>
  <si>
    <t>NPN Low Noise Transistor, TO-92</t>
  </si>
  <si>
    <t>Single Op Amp, DIP-8</t>
  </si>
  <si>
    <t>Transistor array, DIP-14</t>
  </si>
  <si>
    <t>Dual Op Amp, DIP-8</t>
  </si>
  <si>
    <t>Quad Op Amp, DIP-14</t>
  </si>
  <si>
    <t>Positive LDO Voltage Regulator 1.5A Adj., KTTR</t>
  </si>
  <si>
    <t>Negative LDO Voltage Regulator 1.5A Adj., KTTR</t>
  </si>
  <si>
    <t>Lens</t>
  </si>
  <si>
    <t>NPN Transistor (higher gain -40 model), TO-92</t>
  </si>
  <si>
    <t>610-2N5087</t>
  </si>
  <si>
    <t xml:space="preserve">Lead Spacing for all Polarized caps is 2.5mm.  Lower value P caps should be rated 50VDC min.  Higher values may be 35VDC min.  </t>
  </si>
  <si>
    <t xml:space="preserve">Lead Spacing for all Non-Polarized caps is 5mm, except 22n, which is 7.5mm.  NP caps should be rated minimum 50VDC.  MLCCs &gt;= 1n can be subbed with polypropylene or PET film (box) caps. </t>
  </si>
  <si>
    <t>Mill-Max</t>
  </si>
  <si>
    <t>575-11043308</t>
  </si>
  <si>
    <t>575-143314</t>
  </si>
  <si>
    <t>DIP8 Socket</t>
  </si>
  <si>
    <t>DIP14 Socket</t>
  </si>
  <si>
    <t>IC &amp; Component Sockets 8P DIP Machined TIN PIN GOLD CONT</t>
  </si>
  <si>
    <t>IC &amp; Component Sockets 14P DIP Machined TIN PIN GLD CNT</t>
  </si>
  <si>
    <t>Murata</t>
  </si>
  <si>
    <t>SPM15-150-Q12P-C</t>
  </si>
  <si>
    <t>580-SPM15-150-Q12P-C</t>
  </si>
  <si>
    <t xml:space="preserve">Isolated DC/DC Converters 15W 9-36Vin 15Vout 1.1A Positive Logic </t>
  </si>
  <si>
    <t>Machined sockets can be purchased at great discount from Tayda</t>
  </si>
  <si>
    <t>Total Filters</t>
  </si>
  <si>
    <t>8x220R, 4x2k2, 2x10K</t>
  </si>
  <si>
    <t>Clean Boards and switch to NO-CLEAN Solder</t>
  </si>
  <si>
    <t>How to use this quick build BOM</t>
  </si>
  <si>
    <t>Scope</t>
  </si>
  <si>
    <t>This is not a complete BOM, and many of the part numbers shown are substitutions from the original BOM.</t>
  </si>
  <si>
    <t xml:space="preserve">This BOM only covers the first phase of installation, where immersible parts are installed.  The idea of this BOM is to facilititate quick installation of all parts in a single pass.  For instance, instead of picking parts and installing by section, we do the entire PCB.  </t>
  </si>
  <si>
    <t xml:space="preserve">To minimize the amount of time spent searching for part names on the board, the subtotal of parts in each section is shown.  </t>
  </si>
  <si>
    <t>Steps</t>
  </si>
  <si>
    <t>Inspect the board for defects.</t>
  </si>
  <si>
    <t>Take photographs or scans of the board</t>
  </si>
  <si>
    <t>Clean the board with isopropyl alcohol</t>
  </si>
  <si>
    <t>Both V3 filter modules are built in a single pass</t>
  </si>
  <si>
    <t xml:space="preserve">Install min 2 inch spacers to front side of the board to raise it from the work surface.  </t>
  </si>
  <si>
    <t xml:space="preserve">Mark board with paint pen for all sections where mods or bug fixes are installed.  This BOM is 100% standard build, so fixes and mods are not reflected.  However, you should avoid stuffing a location if your intent is to put something different there, later.  </t>
  </si>
  <si>
    <t>If there are any traces to be cut for mods, do this now</t>
  </si>
  <si>
    <t>(main board)</t>
  </si>
  <si>
    <t>Hide columns B-E.  Select the range A3:S79.  Print this range; try to get it all on a single sheet.</t>
  </si>
  <si>
    <t>Hide rows 4-80.  Select the range A3:S139.  Print this range; try to get it all on a single sheet.</t>
  </si>
  <si>
    <t>Using the printed sheets, referring to the column "total all sections", pick all resitors and the 1N4148 diodes, lay these out on the work surface, sorted and in order of values.</t>
  </si>
  <si>
    <t xml:space="preserve">Solder all connections. </t>
  </si>
  <si>
    <t>Inspect carefully for missed solder joints, and then flip the board over and remove the cardboard.</t>
  </si>
  <si>
    <r>
      <t xml:space="preserve">Install all passive components that are small, and hug the board.  Go down the BOM list, and stuff each value in order.  The BOM will tell you which sections have which parts. Stuff all resistors and the 1N4148 diodes.  For now, skip the parts in the LED sections, </t>
    </r>
    <r>
      <rPr>
        <u/>
        <sz val="11"/>
        <color theme="1"/>
        <rFont val="Calibri"/>
        <family val="2"/>
        <scheme val="minor"/>
      </rPr>
      <t xml:space="preserve">EXCEPT the 680R resistor, which appears to be in the Preamp/EF/RingMod section.  Stuff this one.  If any of the C0G caps do not have formed leads (i.e. they hug the board), include these.  </t>
    </r>
  </si>
  <si>
    <t>There is a row at the bottom of the sheet summarizing where standing resistors are located - these can be hard to spot.  Remove the standing resistors and set aside.</t>
  </si>
  <si>
    <t>Take the precut cardboard form and place over the board.  Secure on all sides with painters tape.  Flip the board over and press down firmly onto work surface.</t>
  </si>
  <si>
    <t xml:space="preserve">Working your way across the board, bend all resistor and diode leads out (away from the component body).  Clip these.  If you have done this correctly, you could in theory remove the cardboard and nothing would pop out.  But don't remove the cardboard yet.  </t>
  </si>
  <si>
    <t xml:space="preserve">Install the IC sockets and C0G caps with formed leads.  Both of these have roughtly the same profile.  </t>
  </si>
  <si>
    <t xml:space="preserve">Tape the cardboard back on, flip the board over. </t>
  </si>
  <si>
    <t>Bend out and trim the capacitor leads.</t>
  </si>
  <si>
    <t xml:space="preserve">Move the spacers to the other side of the board and install all LED system components.  Watch for the standing diode in/near the noise section - its easy to miss.  You don't need to go through the entire cardboard process here, just bend the leads out with one hand under the board, as you install them from the other.  </t>
  </si>
  <si>
    <t>Flip the board over, trim the leads and solder.</t>
  </si>
  <si>
    <t xml:space="preserve">If you are using organic flux, you may wash the board now. </t>
  </si>
  <si>
    <t xml:space="preserve">Repeat this same process as desribed above, for building the Filter modules.  If you have a way of suspending both boards at the same time (ex: panavise) you can build both at the same time. </t>
  </si>
  <si>
    <t>Install matched transistors to RingMod and VCA sections.  These should stay in place for soldering without the cardboard.</t>
  </si>
  <si>
    <t xml:space="preserve">Trace the profile of the main PCB and the two filter PCBs on cardboard, cut out.  The coardboard should be rigid, flat and free of creases or holes.  </t>
  </si>
  <si>
    <t xml:space="preserve">Repeat the above process for film and electrolytic capacitors, single transistors, and standing resistors, which all have roughly the same profile.  When soldering transistor leads, allow some time between soldering each lead of the component.  </t>
  </si>
  <si>
    <t xml:space="preserve">Proceed with the standard build process and no-clean flux.  </t>
  </si>
  <si>
    <t>Matched pairs: RMx2, VCAx1, 4012x5.  There are complementary pairs (2N3904+2N3906) 4012x1, 4072x1, VCAx1</t>
  </si>
  <si>
    <t>Matched pairs: RMx2, VCAx2, 4012x1, 4072x1</t>
  </si>
  <si>
    <t>Matched pairs: 4072x4</t>
  </si>
</sst>
</file>

<file path=xl/styles.xml><?xml version="1.0" encoding="utf-8"?>
<styleSheet xmlns="http://schemas.openxmlformats.org/spreadsheetml/2006/main">
  <fonts count="7">
    <font>
      <sz val="11"/>
      <color theme="1"/>
      <name val="Calibri"/>
      <family val="2"/>
      <scheme val="minor"/>
    </font>
    <font>
      <sz val="9"/>
      <color indexed="81"/>
      <name val="Tahoma"/>
      <family val="2"/>
    </font>
    <font>
      <sz val="7"/>
      <color theme="1"/>
      <name val="Calibri"/>
      <family val="2"/>
      <scheme val="minor"/>
    </font>
    <font>
      <b/>
      <sz val="7"/>
      <color theme="1"/>
      <name val="Calibri"/>
      <family val="2"/>
      <scheme val="minor"/>
    </font>
    <font>
      <b/>
      <sz val="7"/>
      <color theme="0"/>
      <name val="Calibri"/>
      <family val="2"/>
      <scheme val="minor"/>
    </font>
    <font>
      <u/>
      <sz val="11"/>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0" fillId="0" borderId="0" xfId="0" applyFill="1"/>
    <xf numFmtId="0" fontId="2" fillId="0" borderId="0" xfId="0" applyFont="1"/>
    <xf numFmtId="0" fontId="2" fillId="0" borderId="1" xfId="0" applyFont="1" applyBorder="1"/>
    <xf numFmtId="0" fontId="2" fillId="0" borderId="2" xfId="0" applyFont="1" applyBorder="1"/>
    <xf numFmtId="0" fontId="2" fillId="0" borderId="1" xfId="0" applyFont="1" applyFill="1" applyBorder="1"/>
    <xf numFmtId="0" fontId="2" fillId="2" borderId="1" xfId="0" applyFont="1" applyFill="1" applyBorder="1"/>
    <xf numFmtId="0" fontId="2" fillId="2" borderId="2" xfId="0" applyFont="1" applyFill="1" applyBorder="1"/>
    <xf numFmtId="0" fontId="2" fillId="2" borderId="0" xfId="0" applyFont="1" applyFill="1"/>
    <xf numFmtId="0" fontId="2" fillId="0" borderId="2" xfId="0" applyFont="1" applyFill="1" applyBorder="1"/>
    <xf numFmtId="0" fontId="2" fillId="0" borderId="0" xfId="0" applyFont="1" applyFill="1"/>
    <xf numFmtId="0" fontId="3" fillId="0" borderId="1" xfId="0" applyFont="1" applyBorder="1"/>
    <xf numFmtId="0" fontId="2" fillId="4" borderId="1" xfId="0" applyFont="1" applyFill="1" applyBorder="1"/>
    <xf numFmtId="0" fontId="2" fillId="4" borderId="2" xfId="0" applyFont="1" applyFill="1" applyBorder="1"/>
    <xf numFmtId="0" fontId="2" fillId="4" borderId="0" xfId="0" applyFont="1" applyFill="1"/>
    <xf numFmtId="0" fontId="2" fillId="5" borderId="1" xfId="0" applyFont="1" applyFill="1" applyBorder="1"/>
    <xf numFmtId="0" fontId="2" fillId="5" borderId="2" xfId="0" applyFont="1" applyFill="1" applyBorder="1"/>
    <xf numFmtId="0" fontId="2" fillId="5" borderId="0" xfId="0" applyFont="1" applyFill="1"/>
    <xf numFmtId="0" fontId="2" fillId="7" borderId="1" xfId="0" applyFont="1" applyFill="1" applyBorder="1"/>
    <xf numFmtId="0" fontId="2" fillId="7" borderId="2" xfId="0" applyFont="1" applyFill="1" applyBorder="1"/>
    <xf numFmtId="0" fontId="2" fillId="7" borderId="0" xfId="0" applyFont="1" applyFill="1"/>
    <xf numFmtId="0" fontId="2" fillId="6" borderId="1" xfId="0" applyFont="1" applyFill="1" applyBorder="1"/>
    <xf numFmtId="0" fontId="2" fillId="6" borderId="2" xfId="0" applyFont="1" applyFill="1" applyBorder="1"/>
    <xf numFmtId="0" fontId="2" fillId="6" borderId="0" xfId="0" applyFont="1" applyFill="1"/>
    <xf numFmtId="0" fontId="2" fillId="2" borderId="1" xfId="0" applyFont="1" applyFill="1" applyBorder="1" applyAlignment="1">
      <alignment wrapText="1"/>
    </xf>
    <xf numFmtId="49" fontId="0" fillId="0" borderId="0" xfId="0" applyNumberFormat="1" applyFill="1"/>
    <xf numFmtId="49" fontId="0" fillId="0" borderId="0" xfId="0" applyNumberFormat="1"/>
    <xf numFmtId="0" fontId="0" fillId="0" borderId="0" xfId="0" applyAlignment="1">
      <alignment wrapText="1"/>
    </xf>
    <xf numFmtId="0" fontId="2" fillId="0" borderId="1" xfId="0" applyFont="1" applyFill="1" applyBorder="1" applyAlignment="1">
      <alignment wrapText="1"/>
    </xf>
    <xf numFmtId="0" fontId="0" fillId="0" borderId="0" xfId="0" applyAlignment="1"/>
    <xf numFmtId="0" fontId="2" fillId="3" borderId="1" xfId="0" applyFont="1" applyFill="1" applyBorder="1"/>
    <xf numFmtId="0" fontId="2" fillId="3" borderId="2" xfId="0" applyFont="1" applyFill="1" applyBorder="1"/>
    <xf numFmtId="0" fontId="2" fillId="3" borderId="0" xfId="0" applyFont="1" applyFill="1"/>
    <xf numFmtId="0" fontId="4" fillId="3" borderId="1" xfId="0" applyFont="1" applyFill="1" applyBorder="1"/>
    <xf numFmtId="0" fontId="2" fillId="0" borderId="0"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0" xfId="0" applyFont="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2" borderId="2" xfId="0" applyFont="1" applyFill="1" applyBorder="1" applyAlignment="1">
      <alignment wrapText="1"/>
    </xf>
    <xf numFmtId="0" fontId="2" fillId="2" borderId="0" xfId="0" applyFont="1" applyFill="1" applyAlignment="1">
      <alignment wrapText="1"/>
    </xf>
    <xf numFmtId="0" fontId="6"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B37"/>
  <sheetViews>
    <sheetView tabSelected="1" topLeftCell="A19" zoomScale="85" zoomScaleNormal="85" workbookViewId="0">
      <selection activeCell="B37" sqref="B37"/>
    </sheetView>
  </sheetViews>
  <sheetFormatPr defaultRowHeight="15"/>
  <cols>
    <col min="2" max="2" width="100.42578125" style="27" customWidth="1"/>
  </cols>
  <sheetData>
    <row r="1" spans="1:2" ht="15.75">
      <c r="A1" s="44" t="s">
        <v>373</v>
      </c>
    </row>
    <row r="3" spans="1:2">
      <c r="A3" t="s">
        <v>374</v>
      </c>
    </row>
    <row r="4" spans="1:2">
      <c r="A4">
        <v>1</v>
      </c>
      <c r="B4" s="27" t="s">
        <v>375</v>
      </c>
    </row>
    <row r="5" spans="1:2" ht="45">
      <c r="A5">
        <v>2</v>
      </c>
      <c r="B5" s="27" t="s">
        <v>376</v>
      </c>
    </row>
    <row r="6" spans="1:2" ht="30">
      <c r="A6">
        <v>3</v>
      </c>
      <c r="B6" s="27" t="s">
        <v>377</v>
      </c>
    </row>
    <row r="7" spans="1:2">
      <c r="A7">
        <v>4</v>
      </c>
      <c r="B7" s="27" t="s">
        <v>382</v>
      </c>
    </row>
    <row r="9" spans="1:2">
      <c r="A9" t="s">
        <v>378</v>
      </c>
      <c r="B9" s="27" t="s">
        <v>386</v>
      </c>
    </row>
    <row r="10" spans="1:2">
      <c r="A10">
        <v>1</v>
      </c>
      <c r="B10" s="27" t="s">
        <v>379</v>
      </c>
    </row>
    <row r="11" spans="1:2">
      <c r="A11">
        <v>2</v>
      </c>
      <c r="B11" s="27" t="s">
        <v>380</v>
      </c>
    </row>
    <row r="12" spans="1:2" ht="30">
      <c r="A12">
        <v>3</v>
      </c>
      <c r="B12" s="27" t="s">
        <v>404</v>
      </c>
    </row>
    <row r="13" spans="1:2">
      <c r="A13">
        <v>4</v>
      </c>
      <c r="B13" s="27" t="s">
        <v>383</v>
      </c>
    </row>
    <row r="14" spans="1:2">
      <c r="A14">
        <v>5</v>
      </c>
      <c r="B14" s="27" t="s">
        <v>381</v>
      </c>
    </row>
    <row r="15" spans="1:2" ht="45">
      <c r="A15">
        <v>6</v>
      </c>
      <c r="B15" s="27" t="s">
        <v>384</v>
      </c>
    </row>
    <row r="16" spans="1:2">
      <c r="A16">
        <v>7</v>
      </c>
      <c r="B16" s="27" t="s">
        <v>385</v>
      </c>
    </row>
    <row r="17" spans="1:2">
      <c r="A17">
        <v>8</v>
      </c>
      <c r="B17" s="27" t="s">
        <v>387</v>
      </c>
    </row>
    <row r="18" spans="1:2">
      <c r="A18">
        <v>9</v>
      </c>
      <c r="B18" s="27" t="s">
        <v>388</v>
      </c>
    </row>
    <row r="19" spans="1:2" ht="30">
      <c r="A19">
        <v>10</v>
      </c>
      <c r="B19" s="27" t="s">
        <v>389</v>
      </c>
    </row>
    <row r="20" spans="1:2" ht="75">
      <c r="A20">
        <v>11</v>
      </c>
      <c r="B20" s="27" t="s">
        <v>392</v>
      </c>
    </row>
    <row r="21" spans="1:2" ht="30">
      <c r="A21">
        <v>12</v>
      </c>
      <c r="B21" s="27" t="s">
        <v>393</v>
      </c>
    </row>
    <row r="22" spans="1:2" ht="30">
      <c r="A22">
        <v>13</v>
      </c>
      <c r="B22" s="27" t="s">
        <v>394</v>
      </c>
    </row>
    <row r="23" spans="1:2" ht="45">
      <c r="A23">
        <v>14</v>
      </c>
      <c r="B23" s="27" t="s">
        <v>395</v>
      </c>
    </row>
    <row r="24" spans="1:2">
      <c r="A24">
        <v>15</v>
      </c>
      <c r="B24" s="27" t="s">
        <v>390</v>
      </c>
    </row>
    <row r="25" spans="1:2">
      <c r="A25">
        <v>16</v>
      </c>
      <c r="B25" s="27" t="s">
        <v>391</v>
      </c>
    </row>
    <row r="26" spans="1:2">
      <c r="A26">
        <v>17</v>
      </c>
      <c r="B26" s="27" t="s">
        <v>396</v>
      </c>
    </row>
    <row r="27" spans="1:2">
      <c r="A27">
        <v>18</v>
      </c>
      <c r="B27" s="27" t="s">
        <v>397</v>
      </c>
    </row>
    <row r="28" spans="1:2">
      <c r="A28">
        <v>19</v>
      </c>
      <c r="B28" s="27" t="s">
        <v>398</v>
      </c>
    </row>
    <row r="29" spans="1:2">
      <c r="A29">
        <v>20</v>
      </c>
      <c r="B29" s="27" t="s">
        <v>390</v>
      </c>
    </row>
    <row r="30" spans="1:2">
      <c r="A30">
        <v>21</v>
      </c>
      <c r="B30" s="27" t="s">
        <v>391</v>
      </c>
    </row>
    <row r="31" spans="1:2" ht="45">
      <c r="A31">
        <v>22</v>
      </c>
      <c r="B31" s="27" t="s">
        <v>405</v>
      </c>
    </row>
    <row r="32" spans="1:2" ht="30">
      <c r="A32">
        <v>23</v>
      </c>
      <c r="B32" s="27" t="s">
        <v>403</v>
      </c>
    </row>
    <row r="33" spans="1:2" ht="58.5" customHeight="1">
      <c r="A33">
        <v>24</v>
      </c>
      <c r="B33" s="27" t="s">
        <v>399</v>
      </c>
    </row>
    <row r="34" spans="1:2">
      <c r="A34">
        <v>25</v>
      </c>
      <c r="B34" s="27" t="s">
        <v>400</v>
      </c>
    </row>
    <row r="35" spans="1:2">
      <c r="A35">
        <v>26</v>
      </c>
      <c r="B35" s="27" t="s">
        <v>401</v>
      </c>
    </row>
    <row r="36" spans="1:2" ht="30">
      <c r="A36">
        <v>27</v>
      </c>
      <c r="B36" s="27" t="s">
        <v>402</v>
      </c>
    </row>
    <row r="37" spans="1:2">
      <c r="B37" s="27" t="s">
        <v>406</v>
      </c>
    </row>
  </sheetData>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dimension ref="A1:Z140"/>
  <sheetViews>
    <sheetView zoomScaleNormal="100" workbookViewId="0">
      <pane xSplit="1" ySplit="3" topLeftCell="B46" activePane="bottomRight" state="frozen"/>
      <selection pane="topRight" activeCell="B1" sqref="B1"/>
      <selection pane="bottomLeft" activeCell="A4" sqref="A4"/>
      <selection pane="bottomRight" activeCell="Z129" sqref="Z129:Z136"/>
    </sheetView>
  </sheetViews>
  <sheetFormatPr defaultRowHeight="9"/>
  <cols>
    <col min="1" max="1" width="10" style="2" customWidth="1"/>
    <col min="2" max="2" width="6.28515625" style="2" hidden="1" customWidth="1"/>
    <col min="3" max="3" width="36.28515625" style="2" hidden="1" customWidth="1"/>
    <col min="4" max="4" width="95" style="2" hidden="1" customWidth="1"/>
    <col min="5" max="5" width="36.28515625" style="2" hidden="1" customWidth="1"/>
    <col min="6" max="18" width="5.42578125" style="2" customWidth="1"/>
    <col min="19" max="19" width="6" style="2" customWidth="1"/>
    <col min="20" max="21" width="9.140625" style="2" customWidth="1"/>
    <col min="22" max="23" width="9.140625" style="2"/>
    <col min="24" max="24" width="6.85546875" style="2" customWidth="1"/>
    <col min="25" max="25" width="8" style="2" customWidth="1"/>
    <col min="26" max="16384" width="9.140625" style="2"/>
  </cols>
  <sheetData>
    <row r="1" spans="1:25">
      <c r="A1" s="2" t="s">
        <v>185</v>
      </c>
    </row>
    <row r="2" spans="1:25">
      <c r="F2" s="35" t="s">
        <v>188</v>
      </c>
      <c r="G2" s="35"/>
      <c r="H2" s="35"/>
      <c r="I2" s="35"/>
      <c r="J2" s="35"/>
      <c r="K2" s="35"/>
      <c r="L2" s="35"/>
      <c r="M2" s="35"/>
      <c r="N2" s="35"/>
      <c r="O2" s="35"/>
      <c r="P2" s="35"/>
      <c r="Q2" s="35"/>
      <c r="R2" s="35"/>
      <c r="S2" s="35"/>
      <c r="T2" s="36" t="s">
        <v>189</v>
      </c>
      <c r="U2" s="37"/>
      <c r="V2" s="37"/>
      <c r="W2" s="38"/>
      <c r="X2" s="34"/>
    </row>
    <row r="3" spans="1:25" s="39" customFormat="1" ht="36">
      <c r="A3" s="39" t="s">
        <v>192</v>
      </c>
      <c r="B3" s="40" t="s">
        <v>186</v>
      </c>
      <c r="C3" s="40" t="s">
        <v>193</v>
      </c>
      <c r="D3" s="40" t="s">
        <v>194</v>
      </c>
      <c r="E3" s="40" t="s">
        <v>195</v>
      </c>
      <c r="F3" s="40" t="s">
        <v>126</v>
      </c>
      <c r="G3" s="40" t="s">
        <v>122</v>
      </c>
      <c r="H3" s="40" t="s">
        <v>123</v>
      </c>
      <c r="I3" s="40" t="s">
        <v>124</v>
      </c>
      <c r="J3" s="40" t="s">
        <v>174</v>
      </c>
      <c r="K3" s="40" t="s">
        <v>125</v>
      </c>
      <c r="L3" s="40" t="s">
        <v>173</v>
      </c>
      <c r="M3" s="40" t="s">
        <v>127</v>
      </c>
      <c r="N3" s="40" t="s">
        <v>128</v>
      </c>
      <c r="O3" s="40" t="s">
        <v>184</v>
      </c>
      <c r="P3" s="40" t="s">
        <v>129</v>
      </c>
      <c r="Q3" s="40" t="s">
        <v>130</v>
      </c>
      <c r="R3" s="40" t="s">
        <v>131</v>
      </c>
      <c r="S3" s="40" t="s">
        <v>190</v>
      </c>
      <c r="T3" s="40" t="s">
        <v>121</v>
      </c>
      <c r="U3" s="40" t="s">
        <v>120</v>
      </c>
      <c r="V3" s="40">
        <v>4072</v>
      </c>
      <c r="W3" s="41">
        <v>4012</v>
      </c>
      <c r="X3" s="41" t="s">
        <v>370</v>
      </c>
      <c r="Y3" s="28" t="s">
        <v>191</v>
      </c>
    </row>
    <row r="4" spans="1:25">
      <c r="A4" s="3" t="s">
        <v>100</v>
      </c>
      <c r="B4" s="3">
        <v>6</v>
      </c>
      <c r="C4" s="3" t="str">
        <f t="shared" ref="C4:C20" si="0">VLOOKUP($A4,resistors,4,FALSE)</f>
        <v>271-10-RC</v>
      </c>
      <c r="D4" s="3" t="str">
        <f t="shared" ref="D4:D20" si="1">VLOOKUP($A4,resistors,2,FALSE)&amp;" "&amp;VLOOKUP($A4,resistors,5,FALSE)</f>
        <v>Resistor, through hole axial lead, .25W 1% Metal Film Xicon</v>
      </c>
      <c r="E4" s="3" t="str">
        <f t="shared" ref="E4:E20" si="2">VLOOKUP($A4,resistors,3,FALSE)</f>
        <v>Mouser</v>
      </c>
      <c r="F4" s="3"/>
      <c r="G4" s="3"/>
      <c r="H4" s="3"/>
      <c r="I4" s="3"/>
      <c r="J4" s="3"/>
      <c r="K4" s="3"/>
      <c r="L4" s="3"/>
      <c r="M4" s="3">
        <v>2</v>
      </c>
      <c r="N4" s="3"/>
      <c r="O4" s="3"/>
      <c r="P4" s="3"/>
      <c r="Q4" s="3">
        <v>4</v>
      </c>
      <c r="R4" s="3"/>
      <c r="S4" s="3">
        <f>SUM(F4:R4)</f>
        <v>6</v>
      </c>
      <c r="T4" s="3"/>
      <c r="U4" s="3"/>
      <c r="V4" s="3"/>
      <c r="W4" s="4"/>
      <c r="X4" s="4">
        <f>SUM(V4:W4)</f>
        <v>0</v>
      </c>
      <c r="Y4" s="3">
        <f>SUM(F4:R4,T4:W4)</f>
        <v>6</v>
      </c>
    </row>
    <row r="5" spans="1:25" s="8" customFormat="1">
      <c r="A5" s="6" t="s">
        <v>101</v>
      </c>
      <c r="B5" s="6">
        <v>2</v>
      </c>
      <c r="C5" s="6" t="str">
        <f t="shared" si="0"/>
        <v>271-56-RC</v>
      </c>
      <c r="D5" s="6" t="str">
        <f t="shared" si="1"/>
        <v>Resistor, through hole axial lead, .25W 1% Metal Film Xicon</v>
      </c>
      <c r="E5" s="6" t="str">
        <f t="shared" si="2"/>
        <v>Mouser</v>
      </c>
      <c r="F5" s="6"/>
      <c r="G5" s="6"/>
      <c r="H5" s="6"/>
      <c r="I5" s="6"/>
      <c r="J5" s="6"/>
      <c r="K5" s="6"/>
      <c r="L5" s="6"/>
      <c r="M5" s="6"/>
      <c r="N5" s="6"/>
      <c r="O5" s="6"/>
      <c r="P5" s="6">
        <v>2</v>
      </c>
      <c r="Q5" s="6"/>
      <c r="R5" s="6"/>
      <c r="S5" s="6">
        <f t="shared" ref="S5:S68" si="3">SUM(F5:R5)</f>
        <v>2</v>
      </c>
      <c r="T5" s="6"/>
      <c r="U5" s="6"/>
      <c r="V5" s="6"/>
      <c r="W5" s="7"/>
      <c r="X5" s="7">
        <f t="shared" ref="X5:X68" si="4">SUM(V5:W5)</f>
        <v>0</v>
      </c>
      <c r="Y5" s="6">
        <f t="shared" ref="Y5:Y68" si="5">SUM(F5:R5,T5:W5)</f>
        <v>2</v>
      </c>
    </row>
    <row r="6" spans="1:25">
      <c r="A6" s="3" t="s">
        <v>102</v>
      </c>
      <c r="B6" s="3">
        <v>4</v>
      </c>
      <c r="C6" s="3" t="str">
        <f t="shared" si="0"/>
        <v>660-MF1/4DC1000F</v>
      </c>
      <c r="D6" s="3" t="str">
        <f t="shared" si="1"/>
        <v>Resistor, through hole axial lead, .25W 1% Metal Film KOA Speer</v>
      </c>
      <c r="E6" s="3" t="str">
        <f t="shared" si="2"/>
        <v>Mouser</v>
      </c>
      <c r="F6" s="3">
        <v>1</v>
      </c>
      <c r="G6" s="3"/>
      <c r="H6" s="3"/>
      <c r="I6" s="3"/>
      <c r="J6" s="3"/>
      <c r="K6" s="3"/>
      <c r="L6" s="3"/>
      <c r="M6" s="3">
        <v>1</v>
      </c>
      <c r="N6" s="3"/>
      <c r="O6" s="3"/>
      <c r="P6" s="3">
        <v>1</v>
      </c>
      <c r="Q6" s="3"/>
      <c r="R6" s="3"/>
      <c r="S6" s="3">
        <f t="shared" si="3"/>
        <v>3</v>
      </c>
      <c r="T6" s="3"/>
      <c r="U6" s="3"/>
      <c r="V6" s="3">
        <v>1</v>
      </c>
      <c r="W6" s="4"/>
      <c r="X6" s="4">
        <f t="shared" si="4"/>
        <v>1</v>
      </c>
      <c r="Y6" s="3">
        <f t="shared" si="5"/>
        <v>4</v>
      </c>
    </row>
    <row r="7" spans="1:25" s="8" customFormat="1">
      <c r="A7" s="6" t="s">
        <v>103</v>
      </c>
      <c r="B7" s="6">
        <v>1</v>
      </c>
      <c r="C7" s="6" t="str">
        <f t="shared" si="0"/>
        <v>271-120-RC</v>
      </c>
      <c r="D7" s="6" t="str">
        <f t="shared" si="1"/>
        <v>Resistor, through hole axial lead, .25W 1% Metal Film Xicon</v>
      </c>
      <c r="E7" s="6" t="str">
        <f t="shared" si="2"/>
        <v>Mouser</v>
      </c>
      <c r="F7" s="6"/>
      <c r="G7" s="6"/>
      <c r="H7" s="6"/>
      <c r="I7" s="6"/>
      <c r="J7" s="6"/>
      <c r="K7" s="6">
        <v>1</v>
      </c>
      <c r="L7" s="6"/>
      <c r="M7" s="6"/>
      <c r="N7" s="6"/>
      <c r="O7" s="6"/>
      <c r="P7" s="6"/>
      <c r="Q7" s="6"/>
      <c r="R7" s="6"/>
      <c r="S7" s="6">
        <f t="shared" si="3"/>
        <v>1</v>
      </c>
      <c r="T7" s="6"/>
      <c r="U7" s="6"/>
      <c r="V7" s="6"/>
      <c r="W7" s="7"/>
      <c r="X7" s="7">
        <f t="shared" si="4"/>
        <v>0</v>
      </c>
      <c r="Y7" s="6">
        <f t="shared" si="5"/>
        <v>1</v>
      </c>
    </row>
    <row r="8" spans="1:25" s="10" customFormat="1">
      <c r="A8" s="5" t="s">
        <v>104</v>
      </c>
      <c r="B8" s="5">
        <v>26</v>
      </c>
      <c r="C8" s="5" t="str">
        <f t="shared" si="0"/>
        <v>660-MF1/4DC2200F</v>
      </c>
      <c r="D8" s="5" t="str">
        <f t="shared" si="1"/>
        <v>Resistor, through hole axial lead, .25W 1% Metal Film KOA Speer</v>
      </c>
      <c r="E8" s="5" t="str">
        <f t="shared" si="2"/>
        <v>Mouser</v>
      </c>
      <c r="F8" s="5">
        <v>2</v>
      </c>
      <c r="G8" s="5"/>
      <c r="H8" s="5"/>
      <c r="I8" s="5"/>
      <c r="J8" s="5"/>
      <c r="K8" s="5"/>
      <c r="L8" s="5">
        <v>2</v>
      </c>
      <c r="M8" s="5"/>
      <c r="N8" s="5"/>
      <c r="O8" s="5"/>
      <c r="P8" s="5"/>
      <c r="Q8" s="5">
        <v>2</v>
      </c>
      <c r="R8" s="5">
        <v>7</v>
      </c>
      <c r="S8" s="5">
        <f t="shared" si="3"/>
        <v>13</v>
      </c>
      <c r="T8" s="5"/>
      <c r="U8" s="5">
        <v>3</v>
      </c>
      <c r="V8" s="5">
        <v>9</v>
      </c>
      <c r="W8" s="9">
        <v>1</v>
      </c>
      <c r="X8" s="9">
        <f t="shared" si="4"/>
        <v>10</v>
      </c>
      <c r="Y8" s="5">
        <f t="shared" si="5"/>
        <v>26</v>
      </c>
    </row>
    <row r="9" spans="1:25" s="8" customFormat="1">
      <c r="A9" s="6" t="s">
        <v>105</v>
      </c>
      <c r="B9" s="6">
        <v>2</v>
      </c>
      <c r="C9" s="6" t="str">
        <f t="shared" si="0"/>
        <v>660-MF1/4DC2400F</v>
      </c>
      <c r="D9" s="6" t="str">
        <f t="shared" si="1"/>
        <v>Resistor, through hole axial lead, .25W 1% Metal Film KOA Speer</v>
      </c>
      <c r="E9" s="6" t="str">
        <f t="shared" si="2"/>
        <v>Mouser</v>
      </c>
      <c r="F9" s="6"/>
      <c r="G9" s="6"/>
      <c r="H9" s="6"/>
      <c r="I9" s="6"/>
      <c r="J9" s="6"/>
      <c r="K9" s="6"/>
      <c r="L9" s="6"/>
      <c r="M9" s="6"/>
      <c r="N9" s="6"/>
      <c r="O9" s="6"/>
      <c r="P9" s="6"/>
      <c r="Q9" s="6"/>
      <c r="R9" s="6"/>
      <c r="S9" s="6">
        <f t="shared" si="3"/>
        <v>0</v>
      </c>
      <c r="T9" s="6">
        <v>2</v>
      </c>
      <c r="U9" s="6"/>
      <c r="V9" s="6"/>
      <c r="W9" s="7"/>
      <c r="X9" s="7">
        <f t="shared" si="4"/>
        <v>0</v>
      </c>
      <c r="Y9" s="6">
        <f t="shared" si="5"/>
        <v>2</v>
      </c>
    </row>
    <row r="10" spans="1:25">
      <c r="A10" s="3" t="s">
        <v>106</v>
      </c>
      <c r="B10" s="3">
        <v>1</v>
      </c>
      <c r="C10" s="3" t="str">
        <f t="shared" si="0"/>
        <v>660-MF1/4DC3300F</v>
      </c>
      <c r="D10" s="3" t="str">
        <f t="shared" si="1"/>
        <v>Resistor, through hole axial lead, .25W 1% Metal Film KOA Speer</v>
      </c>
      <c r="E10" s="3" t="str">
        <f t="shared" si="2"/>
        <v>Mouser</v>
      </c>
      <c r="F10" s="3"/>
      <c r="G10" s="3"/>
      <c r="H10" s="3"/>
      <c r="I10" s="3"/>
      <c r="J10" s="3"/>
      <c r="K10" s="3"/>
      <c r="L10" s="3"/>
      <c r="M10" s="3"/>
      <c r="N10" s="3"/>
      <c r="O10" s="3"/>
      <c r="P10" s="3">
        <v>1</v>
      </c>
      <c r="Q10" s="3"/>
      <c r="R10" s="3"/>
      <c r="S10" s="3">
        <f t="shared" si="3"/>
        <v>1</v>
      </c>
      <c r="T10" s="3"/>
      <c r="U10" s="3"/>
      <c r="V10" s="3"/>
      <c r="W10" s="4"/>
      <c r="X10" s="4">
        <f t="shared" si="4"/>
        <v>0</v>
      </c>
      <c r="Y10" s="3">
        <f t="shared" si="5"/>
        <v>1</v>
      </c>
    </row>
    <row r="11" spans="1:25" s="8" customFormat="1">
      <c r="A11" s="6" t="s">
        <v>107</v>
      </c>
      <c r="B11" s="6">
        <v>9</v>
      </c>
      <c r="C11" s="6" t="str">
        <f t="shared" si="0"/>
        <v>660-MF1/4DC4700F</v>
      </c>
      <c r="D11" s="6" t="str">
        <f t="shared" si="1"/>
        <v>Resistor, through hole axial lead, .25W 1% Metal Film KOA Speer</v>
      </c>
      <c r="E11" s="6" t="str">
        <f t="shared" si="2"/>
        <v>Mouser</v>
      </c>
      <c r="F11" s="6">
        <v>1</v>
      </c>
      <c r="G11" s="6"/>
      <c r="H11" s="6"/>
      <c r="I11" s="6"/>
      <c r="J11" s="6"/>
      <c r="K11" s="6"/>
      <c r="L11" s="6">
        <v>1</v>
      </c>
      <c r="M11" s="6">
        <v>1</v>
      </c>
      <c r="N11" s="6"/>
      <c r="O11" s="6"/>
      <c r="P11" s="6"/>
      <c r="Q11" s="6"/>
      <c r="R11" s="6"/>
      <c r="S11" s="6">
        <f t="shared" si="3"/>
        <v>3</v>
      </c>
      <c r="T11" s="6"/>
      <c r="U11" s="6"/>
      <c r="V11" s="6"/>
      <c r="W11" s="7">
        <v>6</v>
      </c>
      <c r="X11" s="7">
        <f t="shared" si="4"/>
        <v>6</v>
      </c>
      <c r="Y11" s="6">
        <f t="shared" si="5"/>
        <v>9</v>
      </c>
    </row>
    <row r="12" spans="1:25" s="10" customFormat="1">
      <c r="A12" s="5" t="s">
        <v>108</v>
      </c>
      <c r="B12" s="5">
        <v>3</v>
      </c>
      <c r="C12" s="5" t="str">
        <f t="shared" si="0"/>
        <v>660-MF1/4DC6800F</v>
      </c>
      <c r="D12" s="5" t="str">
        <f t="shared" si="1"/>
        <v>Resistor, through hole axial lead, .25W 1% Metal Film KOA Speer</v>
      </c>
      <c r="E12" s="5" t="str">
        <f t="shared" si="2"/>
        <v>Mouser</v>
      </c>
      <c r="F12" s="5">
        <v>2</v>
      </c>
      <c r="G12" s="5"/>
      <c r="H12" s="5"/>
      <c r="I12" s="5"/>
      <c r="J12" s="5"/>
      <c r="K12" s="5"/>
      <c r="L12" s="5"/>
      <c r="M12" s="5"/>
      <c r="N12" s="5"/>
      <c r="O12" s="5"/>
      <c r="P12" s="5"/>
      <c r="Q12" s="5"/>
      <c r="R12" s="5">
        <v>1</v>
      </c>
      <c r="S12" s="5">
        <f t="shared" si="3"/>
        <v>3</v>
      </c>
      <c r="T12" s="5"/>
      <c r="U12" s="5"/>
      <c r="V12" s="5"/>
      <c r="W12" s="9"/>
      <c r="X12" s="9">
        <f t="shared" si="4"/>
        <v>0</v>
      </c>
      <c r="Y12" s="5">
        <f t="shared" si="5"/>
        <v>3</v>
      </c>
    </row>
    <row r="13" spans="1:25" s="8" customFormat="1">
      <c r="A13" s="6" t="s">
        <v>109</v>
      </c>
      <c r="B13" s="6">
        <v>3</v>
      </c>
      <c r="C13" s="6" t="str">
        <f t="shared" si="0"/>
        <v>660-MF1/4DC8200F</v>
      </c>
      <c r="D13" s="6" t="str">
        <f t="shared" si="1"/>
        <v>Resistor, through hole axial lead, .25W 1% Metal Film KOA Speer</v>
      </c>
      <c r="E13" s="6" t="str">
        <f t="shared" si="2"/>
        <v>Mouser</v>
      </c>
      <c r="F13" s="6"/>
      <c r="G13" s="6"/>
      <c r="H13" s="6"/>
      <c r="I13" s="6"/>
      <c r="J13" s="6"/>
      <c r="K13" s="6"/>
      <c r="L13" s="6"/>
      <c r="M13" s="6">
        <v>2</v>
      </c>
      <c r="N13" s="6"/>
      <c r="O13" s="6"/>
      <c r="P13" s="6"/>
      <c r="Q13" s="6"/>
      <c r="R13" s="6"/>
      <c r="S13" s="6">
        <f t="shared" si="3"/>
        <v>2</v>
      </c>
      <c r="T13" s="6"/>
      <c r="U13" s="6"/>
      <c r="V13" s="6"/>
      <c r="W13" s="7">
        <v>1</v>
      </c>
      <c r="X13" s="7">
        <f t="shared" si="4"/>
        <v>1</v>
      </c>
      <c r="Y13" s="6">
        <f t="shared" si="5"/>
        <v>3</v>
      </c>
    </row>
    <row r="14" spans="1:25">
      <c r="A14" s="3" t="s">
        <v>23</v>
      </c>
      <c r="B14" s="3">
        <v>39</v>
      </c>
      <c r="C14" s="3" t="str">
        <f t="shared" si="0"/>
        <v>660-MF1/4DC1001F</v>
      </c>
      <c r="D14" s="3" t="str">
        <f t="shared" si="1"/>
        <v>Resistor, through hole axial lead, .25W 1% Metal Film KOA Speer</v>
      </c>
      <c r="E14" s="3" t="str">
        <f t="shared" si="2"/>
        <v>Mouser</v>
      </c>
      <c r="F14" s="3">
        <v>4</v>
      </c>
      <c r="G14" s="3">
        <v>3</v>
      </c>
      <c r="H14" s="3">
        <v>4</v>
      </c>
      <c r="I14" s="3">
        <v>2</v>
      </c>
      <c r="J14" s="3"/>
      <c r="K14" s="3">
        <v>3</v>
      </c>
      <c r="L14" s="3">
        <v>4</v>
      </c>
      <c r="M14" s="3">
        <v>3</v>
      </c>
      <c r="N14" s="3">
        <v>1</v>
      </c>
      <c r="O14" s="3"/>
      <c r="P14" s="3">
        <v>3</v>
      </c>
      <c r="Q14" s="3">
        <v>1</v>
      </c>
      <c r="R14" s="3"/>
      <c r="S14" s="3">
        <f t="shared" si="3"/>
        <v>28</v>
      </c>
      <c r="T14" s="3"/>
      <c r="U14" s="3">
        <v>9</v>
      </c>
      <c r="V14" s="3">
        <v>1</v>
      </c>
      <c r="W14" s="4">
        <v>1</v>
      </c>
      <c r="X14" s="4">
        <f t="shared" si="4"/>
        <v>2</v>
      </c>
      <c r="Y14" s="3">
        <f t="shared" si="5"/>
        <v>39</v>
      </c>
    </row>
    <row r="15" spans="1:25" s="8" customFormat="1">
      <c r="A15" s="6" t="s">
        <v>24</v>
      </c>
      <c r="B15" s="6">
        <v>2</v>
      </c>
      <c r="C15" s="6" t="str">
        <f t="shared" si="0"/>
        <v>660-MF1/4DCT52R1201F</v>
      </c>
      <c r="D15" s="6" t="str">
        <f t="shared" si="1"/>
        <v>Resistor, through hole axial lead, .25W 1% Metal Film KOA Speer</v>
      </c>
      <c r="E15" s="6" t="str">
        <f t="shared" si="2"/>
        <v>Mouser</v>
      </c>
      <c r="F15" s="6"/>
      <c r="G15" s="6"/>
      <c r="H15" s="6"/>
      <c r="I15" s="6"/>
      <c r="J15" s="6"/>
      <c r="K15" s="6"/>
      <c r="L15" s="6"/>
      <c r="M15" s="6">
        <v>2</v>
      </c>
      <c r="N15" s="6"/>
      <c r="O15" s="6"/>
      <c r="P15" s="6"/>
      <c r="Q15" s="6"/>
      <c r="R15" s="6"/>
      <c r="S15" s="6">
        <f t="shared" si="3"/>
        <v>2</v>
      </c>
      <c r="T15" s="6"/>
      <c r="U15" s="6"/>
      <c r="V15" s="6"/>
      <c r="W15" s="7"/>
      <c r="X15" s="7">
        <f t="shared" si="4"/>
        <v>0</v>
      </c>
      <c r="Y15" s="6">
        <f t="shared" si="5"/>
        <v>2</v>
      </c>
    </row>
    <row r="16" spans="1:25">
      <c r="A16" s="3" t="s">
        <v>175</v>
      </c>
      <c r="B16" s="5">
        <v>1</v>
      </c>
      <c r="C16" s="3" t="str">
        <f t="shared" si="0"/>
        <v>660-MF1/4DC1301F</v>
      </c>
      <c r="D16" s="3" t="str">
        <f t="shared" si="1"/>
        <v>Resistor, through hole axial lead, .25W 1% Metal Film KOA Speer</v>
      </c>
      <c r="E16" s="3" t="str">
        <f t="shared" si="2"/>
        <v>Mouser</v>
      </c>
      <c r="F16" s="3"/>
      <c r="G16" s="3"/>
      <c r="H16" s="3"/>
      <c r="I16" s="3"/>
      <c r="J16" s="3"/>
      <c r="K16" s="3"/>
      <c r="L16" s="3"/>
      <c r="M16" s="3"/>
      <c r="N16" s="3"/>
      <c r="O16" s="3"/>
      <c r="P16" s="3"/>
      <c r="Q16" s="3"/>
      <c r="R16" s="3"/>
      <c r="S16" s="3">
        <f t="shared" si="3"/>
        <v>0</v>
      </c>
      <c r="T16" s="3"/>
      <c r="U16" s="3"/>
      <c r="V16" s="3">
        <v>1</v>
      </c>
      <c r="W16" s="4"/>
      <c r="X16" s="4">
        <f t="shared" si="4"/>
        <v>1</v>
      </c>
      <c r="Y16" s="3">
        <f t="shared" si="5"/>
        <v>1</v>
      </c>
    </row>
    <row r="17" spans="1:25" s="8" customFormat="1">
      <c r="A17" s="6" t="s">
        <v>110</v>
      </c>
      <c r="B17" s="6">
        <v>3</v>
      </c>
      <c r="C17" s="6" t="str">
        <f t="shared" si="0"/>
        <v>660-MF1/4DC1371F</v>
      </c>
      <c r="D17" s="6" t="str">
        <f t="shared" si="1"/>
        <v>Resistor, through hole axial lead, .25W 1% Metal Film KOA Speer</v>
      </c>
      <c r="E17" s="6" t="str">
        <f t="shared" si="2"/>
        <v>Mouser</v>
      </c>
      <c r="F17" s="6"/>
      <c r="G17" s="6"/>
      <c r="H17" s="6"/>
      <c r="I17" s="6"/>
      <c r="J17" s="6"/>
      <c r="K17" s="6"/>
      <c r="L17" s="6"/>
      <c r="M17" s="6"/>
      <c r="N17" s="6"/>
      <c r="O17" s="6"/>
      <c r="P17" s="6"/>
      <c r="Q17" s="6"/>
      <c r="R17" s="6"/>
      <c r="S17" s="6">
        <f t="shared" si="3"/>
        <v>0</v>
      </c>
      <c r="T17" s="6"/>
      <c r="U17" s="6">
        <v>3</v>
      </c>
      <c r="V17" s="6"/>
      <c r="W17" s="7"/>
      <c r="X17" s="7">
        <f t="shared" si="4"/>
        <v>0</v>
      </c>
      <c r="Y17" s="6">
        <f t="shared" si="5"/>
        <v>3</v>
      </c>
    </row>
    <row r="18" spans="1:25">
      <c r="A18" s="3" t="s">
        <v>26</v>
      </c>
      <c r="B18" s="3">
        <v>6</v>
      </c>
      <c r="C18" s="3" t="str">
        <f t="shared" si="0"/>
        <v>660-MF1/4DC1501F</v>
      </c>
      <c r="D18" s="3" t="str">
        <f t="shared" si="1"/>
        <v>Resistor, through hole axial lead, .25W 1% Metal Film KOA Speer</v>
      </c>
      <c r="E18" s="3" t="str">
        <f t="shared" si="2"/>
        <v>Mouser</v>
      </c>
      <c r="F18" s="3"/>
      <c r="G18" s="3"/>
      <c r="H18" s="3"/>
      <c r="I18" s="3"/>
      <c r="J18" s="3"/>
      <c r="K18" s="3">
        <v>1</v>
      </c>
      <c r="L18" s="3"/>
      <c r="M18" s="3"/>
      <c r="N18" s="3">
        <v>1</v>
      </c>
      <c r="O18" s="3"/>
      <c r="P18" s="3">
        <v>1</v>
      </c>
      <c r="Q18" s="3"/>
      <c r="R18" s="3"/>
      <c r="S18" s="3">
        <f t="shared" si="3"/>
        <v>3</v>
      </c>
      <c r="T18" s="3"/>
      <c r="U18" s="3">
        <v>3</v>
      </c>
      <c r="V18" s="3"/>
      <c r="W18" s="4"/>
      <c r="X18" s="4">
        <f t="shared" si="4"/>
        <v>0</v>
      </c>
      <c r="Y18" s="3">
        <f t="shared" si="5"/>
        <v>6</v>
      </c>
    </row>
    <row r="19" spans="1:25" s="8" customFormat="1">
      <c r="A19" s="6" t="s">
        <v>112</v>
      </c>
      <c r="B19" s="6">
        <v>3</v>
      </c>
      <c r="C19" s="6" t="str">
        <f t="shared" si="0"/>
        <v>660-MF1/4DC1651F</v>
      </c>
      <c r="D19" s="6" t="str">
        <f t="shared" si="1"/>
        <v>Resistor, through hole axial lead, .25W 1% Metal Film KOA Speer</v>
      </c>
      <c r="E19" s="6" t="str">
        <f t="shared" si="2"/>
        <v>Mouser</v>
      </c>
      <c r="F19" s="6"/>
      <c r="G19" s="6"/>
      <c r="H19" s="6"/>
      <c r="I19" s="6"/>
      <c r="J19" s="6"/>
      <c r="K19" s="6"/>
      <c r="L19" s="6"/>
      <c r="M19" s="6"/>
      <c r="N19" s="6"/>
      <c r="O19" s="6"/>
      <c r="P19" s="6"/>
      <c r="Q19" s="6"/>
      <c r="R19" s="6"/>
      <c r="S19" s="6">
        <f t="shared" si="3"/>
        <v>0</v>
      </c>
      <c r="T19" s="6"/>
      <c r="U19" s="6">
        <v>3</v>
      </c>
      <c r="V19" s="6"/>
      <c r="W19" s="7"/>
      <c r="X19" s="7">
        <f t="shared" si="4"/>
        <v>0</v>
      </c>
      <c r="Y19" s="6">
        <f t="shared" si="5"/>
        <v>3</v>
      </c>
    </row>
    <row r="20" spans="1:25" s="10" customFormat="1">
      <c r="A20" s="5" t="s">
        <v>28</v>
      </c>
      <c r="B20" s="5">
        <v>3</v>
      </c>
      <c r="C20" s="5" t="str">
        <f t="shared" si="0"/>
        <v>660-MF1/4DC1801F</v>
      </c>
      <c r="D20" s="5" t="str">
        <f t="shared" si="1"/>
        <v>Resistor, through hole axial lead, .25W 1% Metal Film KOA Speer</v>
      </c>
      <c r="E20" s="5" t="str">
        <f t="shared" si="2"/>
        <v>Mouser</v>
      </c>
      <c r="F20" s="5"/>
      <c r="G20" s="5"/>
      <c r="H20" s="5"/>
      <c r="I20" s="5"/>
      <c r="J20" s="5"/>
      <c r="K20" s="5"/>
      <c r="L20" s="5"/>
      <c r="M20" s="5"/>
      <c r="N20" s="5"/>
      <c r="O20" s="5"/>
      <c r="P20" s="5">
        <v>2</v>
      </c>
      <c r="Q20" s="5"/>
      <c r="R20" s="5"/>
      <c r="S20" s="5">
        <f t="shared" si="3"/>
        <v>2</v>
      </c>
      <c r="T20" s="5"/>
      <c r="U20" s="5"/>
      <c r="V20" s="5"/>
      <c r="W20" s="9">
        <v>1</v>
      </c>
      <c r="X20" s="9">
        <f t="shared" si="4"/>
        <v>1</v>
      </c>
      <c r="Y20" s="5">
        <f t="shared" si="5"/>
        <v>3</v>
      </c>
    </row>
    <row r="21" spans="1:25" s="8" customFormat="1">
      <c r="A21" s="6" t="s">
        <v>30</v>
      </c>
      <c r="B21" s="6">
        <v>5</v>
      </c>
      <c r="C21" s="6"/>
      <c r="D21" s="6" t="s">
        <v>235</v>
      </c>
      <c r="E21" s="6" t="s">
        <v>236</v>
      </c>
      <c r="F21" s="6"/>
      <c r="G21" s="6"/>
      <c r="H21" s="6"/>
      <c r="I21" s="6"/>
      <c r="J21" s="6"/>
      <c r="K21" s="6"/>
      <c r="L21" s="6"/>
      <c r="M21" s="6"/>
      <c r="N21" s="6"/>
      <c r="O21" s="6"/>
      <c r="P21" s="6"/>
      <c r="Q21" s="6"/>
      <c r="R21" s="6"/>
      <c r="S21" s="6">
        <f t="shared" si="3"/>
        <v>0</v>
      </c>
      <c r="T21" s="6"/>
      <c r="U21" s="6">
        <v>3</v>
      </c>
      <c r="V21" s="6">
        <v>1</v>
      </c>
      <c r="W21" s="7">
        <v>1</v>
      </c>
      <c r="X21" s="7">
        <f t="shared" si="4"/>
        <v>2</v>
      </c>
      <c r="Y21" s="6">
        <f t="shared" si="5"/>
        <v>5</v>
      </c>
    </row>
    <row r="22" spans="1:25">
      <c r="A22" s="3" t="s">
        <v>46</v>
      </c>
      <c r="B22" s="3">
        <v>10</v>
      </c>
      <c r="C22" s="3" t="str">
        <f t="shared" ref="C22:C53" si="6">VLOOKUP($A22,resistors,4,FALSE)</f>
        <v>660-MF1/4DC2201F</v>
      </c>
      <c r="D22" s="3" t="str">
        <f t="shared" ref="D22:D53" si="7">VLOOKUP($A22,resistors,2,FALSE)&amp;" "&amp;VLOOKUP($A22,resistors,5,FALSE)</f>
        <v>Resistor, through hole axial lead, .25W 1% Metal Film KOA Speer</v>
      </c>
      <c r="E22" s="3" t="str">
        <f t="shared" ref="E22:E53" si="8">VLOOKUP($A22,resistors,3,FALSE)</f>
        <v>Mouser</v>
      </c>
      <c r="F22" s="3"/>
      <c r="G22" s="3"/>
      <c r="H22" s="3">
        <v>3</v>
      </c>
      <c r="I22" s="3"/>
      <c r="J22" s="3"/>
      <c r="K22" s="3">
        <v>1</v>
      </c>
      <c r="L22" s="3"/>
      <c r="M22" s="3"/>
      <c r="N22" s="3"/>
      <c r="O22" s="3"/>
      <c r="P22" s="3"/>
      <c r="Q22" s="3"/>
      <c r="R22" s="3"/>
      <c r="S22" s="3">
        <f t="shared" si="3"/>
        <v>4</v>
      </c>
      <c r="T22" s="3"/>
      <c r="U22" s="3"/>
      <c r="V22" s="3">
        <v>5</v>
      </c>
      <c r="W22" s="4">
        <v>1</v>
      </c>
      <c r="X22" s="4">
        <f t="shared" si="4"/>
        <v>6</v>
      </c>
      <c r="Y22" s="3">
        <f t="shared" si="5"/>
        <v>10</v>
      </c>
    </row>
    <row r="23" spans="1:25" s="8" customFormat="1">
      <c r="A23" s="6" t="s">
        <v>48</v>
      </c>
      <c r="B23" s="6">
        <v>2</v>
      </c>
      <c r="C23" s="6" t="str">
        <f t="shared" si="6"/>
        <v>660-MF1/4DC2401F</v>
      </c>
      <c r="D23" s="6" t="str">
        <f t="shared" si="7"/>
        <v>Resistor, through hole axial lead, .25W 1% Metal Film KOA Speer</v>
      </c>
      <c r="E23" s="6" t="str">
        <f t="shared" si="8"/>
        <v>Mouser</v>
      </c>
      <c r="F23" s="6"/>
      <c r="G23" s="6"/>
      <c r="H23" s="6"/>
      <c r="I23" s="6"/>
      <c r="J23" s="6"/>
      <c r="K23" s="6"/>
      <c r="L23" s="6"/>
      <c r="M23" s="6"/>
      <c r="N23" s="6"/>
      <c r="O23" s="6"/>
      <c r="P23" s="6"/>
      <c r="Q23" s="6"/>
      <c r="R23" s="6"/>
      <c r="S23" s="6">
        <f t="shared" si="3"/>
        <v>0</v>
      </c>
      <c r="T23" s="6">
        <v>2</v>
      </c>
      <c r="U23" s="6"/>
      <c r="V23" s="6"/>
      <c r="W23" s="7"/>
      <c r="X23" s="7">
        <f t="shared" si="4"/>
        <v>0</v>
      </c>
      <c r="Y23" s="6">
        <f t="shared" si="5"/>
        <v>2</v>
      </c>
    </row>
    <row r="24" spans="1:25">
      <c r="A24" s="3" t="s">
        <v>50</v>
      </c>
      <c r="B24" s="3">
        <v>1</v>
      </c>
      <c r="C24" s="3" t="str">
        <f t="shared" si="6"/>
        <v>660-MF1/4DC2701F</v>
      </c>
      <c r="D24" s="3" t="str">
        <f t="shared" si="7"/>
        <v>Resistor, through hole axial lead, .25W 1% Metal Film KOA Speer</v>
      </c>
      <c r="E24" s="3" t="str">
        <f t="shared" si="8"/>
        <v>Mouser</v>
      </c>
      <c r="F24" s="3">
        <v>1</v>
      </c>
      <c r="G24" s="3"/>
      <c r="H24" s="3"/>
      <c r="I24" s="3"/>
      <c r="J24" s="3"/>
      <c r="K24" s="3"/>
      <c r="L24" s="3"/>
      <c r="M24" s="3"/>
      <c r="N24" s="3"/>
      <c r="O24" s="3"/>
      <c r="P24" s="3"/>
      <c r="Q24" s="3"/>
      <c r="R24" s="3"/>
      <c r="S24" s="3">
        <f t="shared" si="3"/>
        <v>1</v>
      </c>
      <c r="T24" s="3"/>
      <c r="U24" s="3"/>
      <c r="V24" s="3"/>
      <c r="W24" s="4"/>
      <c r="X24" s="4">
        <f t="shared" si="4"/>
        <v>0</v>
      </c>
      <c r="Y24" s="3">
        <f t="shared" si="5"/>
        <v>1</v>
      </c>
    </row>
    <row r="25" spans="1:25" s="8" customFormat="1">
      <c r="A25" s="6" t="s">
        <v>59</v>
      </c>
      <c r="B25" s="6">
        <v>2</v>
      </c>
      <c r="C25" s="6" t="str">
        <f t="shared" si="6"/>
        <v>660-MF1/4DC3301F</v>
      </c>
      <c r="D25" s="6" t="str">
        <f t="shared" si="7"/>
        <v>Resistor, through hole axial lead, .25W 1% Metal Film KOA Speer</v>
      </c>
      <c r="E25" s="6" t="str">
        <f t="shared" si="8"/>
        <v>Mouser</v>
      </c>
      <c r="F25" s="6"/>
      <c r="G25" s="6"/>
      <c r="H25" s="6"/>
      <c r="I25" s="6"/>
      <c r="J25" s="6"/>
      <c r="K25" s="6"/>
      <c r="L25" s="6">
        <v>1</v>
      </c>
      <c r="M25" s="6"/>
      <c r="N25" s="6"/>
      <c r="O25" s="6"/>
      <c r="P25" s="6"/>
      <c r="Q25" s="6"/>
      <c r="R25" s="6">
        <v>1</v>
      </c>
      <c r="S25" s="6">
        <f t="shared" si="3"/>
        <v>2</v>
      </c>
      <c r="T25" s="6"/>
      <c r="U25" s="6"/>
      <c r="V25" s="6"/>
      <c r="W25" s="7"/>
      <c r="X25" s="7">
        <f t="shared" si="4"/>
        <v>0</v>
      </c>
      <c r="Y25" s="6">
        <f t="shared" si="5"/>
        <v>2</v>
      </c>
    </row>
    <row r="26" spans="1:25">
      <c r="A26" s="3" t="s">
        <v>61</v>
      </c>
      <c r="B26" s="3">
        <v>4</v>
      </c>
      <c r="C26" s="3" t="str">
        <f t="shared" si="6"/>
        <v>660-MF1/4DC3321F</v>
      </c>
      <c r="D26" s="3" t="str">
        <f t="shared" si="7"/>
        <v>Resistor, through hole axial lead, .25W 1% Metal Film KOA Speer</v>
      </c>
      <c r="E26" s="3" t="str">
        <f t="shared" si="8"/>
        <v>Mouser</v>
      </c>
      <c r="F26" s="3"/>
      <c r="G26" s="3"/>
      <c r="H26" s="3"/>
      <c r="I26" s="3"/>
      <c r="J26" s="3"/>
      <c r="K26" s="3"/>
      <c r="L26" s="3"/>
      <c r="M26" s="3"/>
      <c r="N26" s="3"/>
      <c r="O26" s="3"/>
      <c r="P26" s="3"/>
      <c r="Q26" s="3"/>
      <c r="R26" s="3"/>
      <c r="S26" s="3">
        <f t="shared" si="3"/>
        <v>0</v>
      </c>
      <c r="T26" s="3"/>
      <c r="U26" s="3"/>
      <c r="V26" s="3"/>
      <c r="W26" s="4">
        <v>4</v>
      </c>
      <c r="X26" s="4">
        <f t="shared" si="4"/>
        <v>4</v>
      </c>
      <c r="Y26" s="3">
        <f t="shared" si="5"/>
        <v>4</v>
      </c>
    </row>
    <row r="27" spans="1:25" s="8" customFormat="1">
      <c r="A27" s="6" t="s">
        <v>63</v>
      </c>
      <c r="B27" s="6">
        <v>9</v>
      </c>
      <c r="C27" s="6" t="str">
        <f t="shared" si="6"/>
        <v>660-MF1/4DC3901F</v>
      </c>
      <c r="D27" s="6" t="str">
        <f t="shared" si="7"/>
        <v>Resistor, through hole axial lead, .25W 1% Metal Film KOA Speer</v>
      </c>
      <c r="E27" s="6" t="str">
        <f t="shared" si="8"/>
        <v>Mouser</v>
      </c>
      <c r="F27" s="6"/>
      <c r="G27" s="6">
        <v>1</v>
      </c>
      <c r="H27" s="6">
        <v>1</v>
      </c>
      <c r="I27" s="6">
        <v>1</v>
      </c>
      <c r="J27" s="6"/>
      <c r="K27" s="6">
        <v>1</v>
      </c>
      <c r="L27" s="6"/>
      <c r="M27" s="6"/>
      <c r="N27" s="6">
        <v>1</v>
      </c>
      <c r="O27" s="6"/>
      <c r="P27" s="6">
        <v>1</v>
      </c>
      <c r="Q27" s="6"/>
      <c r="R27" s="6"/>
      <c r="S27" s="6">
        <f t="shared" si="3"/>
        <v>6</v>
      </c>
      <c r="T27" s="6"/>
      <c r="U27" s="6">
        <v>3</v>
      </c>
      <c r="V27" s="6"/>
      <c r="W27" s="7"/>
      <c r="X27" s="7">
        <f t="shared" si="4"/>
        <v>0</v>
      </c>
      <c r="Y27" s="6">
        <f t="shared" si="5"/>
        <v>9</v>
      </c>
    </row>
    <row r="28" spans="1:25">
      <c r="A28" s="3" t="s">
        <v>73</v>
      </c>
      <c r="B28" s="3">
        <v>10</v>
      </c>
      <c r="C28" s="3" t="str">
        <f t="shared" si="6"/>
        <v>660-MF1/4DC4701F</v>
      </c>
      <c r="D28" s="3" t="str">
        <f t="shared" si="7"/>
        <v>Resistor, through hole axial lead, .25W 1% Metal Film KOA Speer</v>
      </c>
      <c r="E28" s="3" t="str">
        <f t="shared" si="8"/>
        <v>Mouser</v>
      </c>
      <c r="F28" s="3">
        <v>2</v>
      </c>
      <c r="G28" s="3"/>
      <c r="H28" s="3"/>
      <c r="I28" s="3"/>
      <c r="J28" s="3"/>
      <c r="K28" s="3">
        <v>1</v>
      </c>
      <c r="L28" s="3">
        <v>3</v>
      </c>
      <c r="M28" s="3"/>
      <c r="N28" s="3"/>
      <c r="O28" s="3"/>
      <c r="P28" s="3">
        <v>3</v>
      </c>
      <c r="Q28" s="3"/>
      <c r="R28" s="3"/>
      <c r="S28" s="3">
        <f t="shared" si="3"/>
        <v>9</v>
      </c>
      <c r="T28" s="3"/>
      <c r="U28" s="3"/>
      <c r="V28" s="3">
        <v>1</v>
      </c>
      <c r="W28" s="4"/>
      <c r="X28" s="4">
        <f t="shared" si="4"/>
        <v>1</v>
      </c>
      <c r="Y28" s="3">
        <f t="shared" si="5"/>
        <v>10</v>
      </c>
    </row>
    <row r="29" spans="1:25" s="8" customFormat="1">
      <c r="A29" s="6" t="s">
        <v>80</v>
      </c>
      <c r="B29" s="6">
        <v>2</v>
      </c>
      <c r="C29" s="6" t="str">
        <f t="shared" si="6"/>
        <v>660-MF1/4DC5361F</v>
      </c>
      <c r="D29" s="6" t="str">
        <f t="shared" si="7"/>
        <v>Resistor, through hole axial lead, .25W 1% Metal Film KOA Speer</v>
      </c>
      <c r="E29" s="6" t="str">
        <f t="shared" si="8"/>
        <v>Mouser</v>
      </c>
      <c r="F29" s="6"/>
      <c r="G29" s="6"/>
      <c r="H29" s="6"/>
      <c r="I29" s="6"/>
      <c r="J29" s="6"/>
      <c r="K29" s="6"/>
      <c r="L29" s="6"/>
      <c r="M29" s="6"/>
      <c r="N29" s="6"/>
      <c r="O29" s="6">
        <v>2</v>
      </c>
      <c r="P29" s="6"/>
      <c r="Q29" s="6"/>
      <c r="R29" s="6"/>
      <c r="S29" s="6">
        <f t="shared" si="3"/>
        <v>2</v>
      </c>
      <c r="T29" s="6"/>
      <c r="U29" s="6"/>
      <c r="V29" s="6"/>
      <c r="W29" s="7"/>
      <c r="X29" s="7">
        <f t="shared" si="4"/>
        <v>0</v>
      </c>
      <c r="Y29" s="6">
        <f t="shared" si="5"/>
        <v>2</v>
      </c>
    </row>
    <row r="30" spans="1:25">
      <c r="A30" s="3" t="s">
        <v>91</v>
      </c>
      <c r="B30" s="3">
        <v>2</v>
      </c>
      <c r="C30" s="3" t="str">
        <f t="shared" si="6"/>
        <v>660-MF1/4DC6801F</v>
      </c>
      <c r="D30" s="3" t="str">
        <f t="shared" si="7"/>
        <v>Resistor, through hole axial lead, .25W 1% Metal Film KOA Speer</v>
      </c>
      <c r="E30" s="3" t="str">
        <f t="shared" si="8"/>
        <v>Mouser</v>
      </c>
      <c r="F30" s="3"/>
      <c r="G30" s="3">
        <v>1</v>
      </c>
      <c r="H30" s="3"/>
      <c r="I30" s="3"/>
      <c r="J30" s="3"/>
      <c r="K30" s="3">
        <v>1</v>
      </c>
      <c r="L30" s="3"/>
      <c r="M30" s="3"/>
      <c r="N30" s="3"/>
      <c r="O30" s="3"/>
      <c r="P30" s="3"/>
      <c r="Q30" s="3"/>
      <c r="R30" s="3"/>
      <c r="S30" s="3">
        <f t="shared" si="3"/>
        <v>2</v>
      </c>
      <c r="T30" s="3"/>
      <c r="U30" s="3"/>
      <c r="V30" s="3"/>
      <c r="W30" s="4"/>
      <c r="X30" s="4">
        <f t="shared" si="4"/>
        <v>0</v>
      </c>
      <c r="Y30" s="3">
        <f t="shared" si="5"/>
        <v>2</v>
      </c>
    </row>
    <row r="31" spans="1:25" s="8" customFormat="1">
      <c r="A31" s="6" t="s">
        <v>97</v>
      </c>
      <c r="B31" s="6">
        <v>1</v>
      </c>
      <c r="C31" s="6" t="str">
        <f t="shared" si="6"/>
        <v>660-MF1/4DC8201F</v>
      </c>
      <c r="D31" s="6" t="str">
        <f t="shared" si="7"/>
        <v>Resistor, through hole axial lead, .25W 1% Metal Film KOA Speer</v>
      </c>
      <c r="E31" s="6" t="str">
        <f t="shared" si="8"/>
        <v>Mouser</v>
      </c>
      <c r="F31" s="6"/>
      <c r="G31" s="6">
        <v>1</v>
      </c>
      <c r="H31" s="6"/>
      <c r="I31" s="6"/>
      <c r="J31" s="6"/>
      <c r="K31" s="6"/>
      <c r="L31" s="6"/>
      <c r="M31" s="6"/>
      <c r="N31" s="6"/>
      <c r="O31" s="6"/>
      <c r="P31" s="6"/>
      <c r="Q31" s="6"/>
      <c r="R31" s="6"/>
      <c r="S31" s="6">
        <f t="shared" si="3"/>
        <v>1</v>
      </c>
      <c r="T31" s="6"/>
      <c r="U31" s="6"/>
      <c r="V31" s="6"/>
      <c r="W31" s="7"/>
      <c r="X31" s="7">
        <f t="shared" si="4"/>
        <v>0</v>
      </c>
      <c r="Y31" s="6">
        <f t="shared" si="5"/>
        <v>1</v>
      </c>
    </row>
    <row r="32" spans="1:25">
      <c r="A32" s="3" t="s">
        <v>114</v>
      </c>
      <c r="B32" s="3">
        <v>3</v>
      </c>
      <c r="C32" s="3" t="str">
        <f t="shared" si="6"/>
        <v>660-MF1/4DC8871F</v>
      </c>
      <c r="D32" s="3" t="str">
        <f t="shared" si="7"/>
        <v>Resistor, through hole axial lead, .25W 1% Metal Film KOA Speer</v>
      </c>
      <c r="E32" s="3" t="str">
        <f t="shared" si="8"/>
        <v>Mouser</v>
      </c>
      <c r="F32" s="3"/>
      <c r="G32" s="3"/>
      <c r="H32" s="3"/>
      <c r="I32" s="3"/>
      <c r="J32" s="3"/>
      <c r="K32" s="3"/>
      <c r="L32" s="3"/>
      <c r="M32" s="3"/>
      <c r="N32" s="3"/>
      <c r="O32" s="3"/>
      <c r="P32" s="3"/>
      <c r="Q32" s="3"/>
      <c r="R32" s="3"/>
      <c r="S32" s="3">
        <f t="shared" si="3"/>
        <v>0</v>
      </c>
      <c r="T32" s="3"/>
      <c r="U32" s="3">
        <v>3</v>
      </c>
      <c r="V32" s="3"/>
      <c r="W32" s="4"/>
      <c r="X32" s="4">
        <f t="shared" si="4"/>
        <v>0</v>
      </c>
      <c r="Y32" s="3">
        <f t="shared" si="5"/>
        <v>3</v>
      </c>
    </row>
    <row r="33" spans="1:25" s="8" customFormat="1">
      <c r="A33" s="6" t="s">
        <v>99</v>
      </c>
      <c r="B33" s="6">
        <v>1</v>
      </c>
      <c r="C33" s="6" t="str">
        <f t="shared" si="6"/>
        <v>660-MF1/4DC9101F</v>
      </c>
      <c r="D33" s="6" t="str">
        <f t="shared" si="7"/>
        <v>Resistor, through hole axial lead, .25W 1% Metal Film KOA Speer</v>
      </c>
      <c r="E33" s="6" t="str">
        <f t="shared" si="8"/>
        <v>Mouser</v>
      </c>
      <c r="F33" s="6"/>
      <c r="G33" s="6"/>
      <c r="H33" s="6"/>
      <c r="I33" s="6"/>
      <c r="J33" s="6"/>
      <c r="K33" s="6">
        <v>1</v>
      </c>
      <c r="L33" s="6"/>
      <c r="M33" s="6"/>
      <c r="N33" s="6"/>
      <c r="O33" s="6"/>
      <c r="P33" s="6"/>
      <c r="Q33" s="6"/>
      <c r="R33" s="6"/>
      <c r="S33" s="6">
        <f t="shared" si="3"/>
        <v>1</v>
      </c>
      <c r="T33" s="6"/>
      <c r="U33" s="6"/>
      <c r="V33" s="6"/>
      <c r="W33" s="7"/>
      <c r="X33" s="7">
        <f t="shared" si="4"/>
        <v>0</v>
      </c>
      <c r="Y33" s="6">
        <f t="shared" si="5"/>
        <v>1</v>
      </c>
    </row>
    <row r="34" spans="1:25" s="10" customFormat="1">
      <c r="A34" s="5" t="s">
        <v>5</v>
      </c>
      <c r="B34" s="5">
        <v>19</v>
      </c>
      <c r="C34" s="5" t="str">
        <f t="shared" si="6"/>
        <v>660-MF1/4DC1002F</v>
      </c>
      <c r="D34" s="5" t="str">
        <f t="shared" si="7"/>
        <v>Resistor, through hole axial lead, .25W 1% Metal Film KOA Speer</v>
      </c>
      <c r="E34" s="5" t="str">
        <f t="shared" si="8"/>
        <v>Mouser</v>
      </c>
      <c r="F34" s="5">
        <v>2</v>
      </c>
      <c r="G34" s="5"/>
      <c r="H34" s="5">
        <v>1</v>
      </c>
      <c r="I34" s="5"/>
      <c r="J34" s="5"/>
      <c r="K34" s="5">
        <v>4</v>
      </c>
      <c r="L34" s="5"/>
      <c r="M34" s="5">
        <v>1</v>
      </c>
      <c r="N34" s="5"/>
      <c r="O34" s="5"/>
      <c r="P34" s="5">
        <v>4</v>
      </c>
      <c r="Q34" s="5">
        <v>1</v>
      </c>
      <c r="R34" s="5">
        <v>1</v>
      </c>
      <c r="S34" s="5">
        <f t="shared" si="3"/>
        <v>14</v>
      </c>
      <c r="T34" s="5"/>
      <c r="U34" s="5"/>
      <c r="V34" s="5">
        <v>3</v>
      </c>
      <c r="W34" s="9">
        <v>1</v>
      </c>
      <c r="X34" s="9">
        <f t="shared" si="4"/>
        <v>4</v>
      </c>
      <c r="Y34" s="5">
        <f t="shared" si="5"/>
        <v>18</v>
      </c>
    </row>
    <row r="35" spans="1:25" s="8" customFormat="1" ht="9" customHeight="1">
      <c r="A35" s="6" t="s">
        <v>9</v>
      </c>
      <c r="B35" s="6">
        <v>8</v>
      </c>
      <c r="C35" s="6" t="str">
        <f t="shared" si="6"/>
        <v>660-MF1/4DC1202F</v>
      </c>
      <c r="D35" s="6" t="str">
        <f t="shared" si="7"/>
        <v>Resistor, through hole axial lead, .25W 1% Metal Film KOA Speer</v>
      </c>
      <c r="E35" s="6" t="str">
        <f t="shared" si="8"/>
        <v>Mouser</v>
      </c>
      <c r="F35" s="6"/>
      <c r="G35" s="6"/>
      <c r="H35" s="6"/>
      <c r="I35" s="6"/>
      <c r="J35" s="6"/>
      <c r="K35" s="6">
        <v>1</v>
      </c>
      <c r="L35" s="6"/>
      <c r="M35" s="6"/>
      <c r="N35" s="6"/>
      <c r="O35" s="6"/>
      <c r="P35" s="6"/>
      <c r="Q35" s="6"/>
      <c r="R35" s="6">
        <v>1</v>
      </c>
      <c r="S35" s="6">
        <f t="shared" si="3"/>
        <v>2</v>
      </c>
      <c r="T35" s="6"/>
      <c r="U35" s="6">
        <v>6</v>
      </c>
      <c r="V35" s="6"/>
      <c r="W35" s="7"/>
      <c r="X35" s="7">
        <f t="shared" si="4"/>
        <v>0</v>
      </c>
      <c r="Y35" s="6">
        <f t="shared" si="5"/>
        <v>8</v>
      </c>
    </row>
    <row r="36" spans="1:25" s="10" customFormat="1" ht="9" customHeight="1">
      <c r="A36" s="5" t="s">
        <v>180</v>
      </c>
      <c r="B36" s="5">
        <v>7</v>
      </c>
      <c r="C36" s="5" t="str">
        <f t="shared" si="6"/>
        <v>660-MF1/4DC1212F</v>
      </c>
      <c r="D36" s="5" t="str">
        <f t="shared" si="7"/>
        <v>Resistor, through hole axial lead, .25W 1% Metal Film KOA Speer</v>
      </c>
      <c r="E36" s="5" t="str">
        <f t="shared" si="8"/>
        <v>Mouser</v>
      </c>
      <c r="F36" s="5"/>
      <c r="G36" s="5"/>
      <c r="H36" s="5"/>
      <c r="I36" s="5"/>
      <c r="J36" s="5"/>
      <c r="K36" s="5"/>
      <c r="L36" s="5"/>
      <c r="M36" s="5"/>
      <c r="N36" s="5"/>
      <c r="O36" s="5"/>
      <c r="P36" s="5"/>
      <c r="Q36" s="5"/>
      <c r="R36" s="5"/>
      <c r="S36" s="5">
        <f t="shared" si="3"/>
        <v>0</v>
      </c>
      <c r="T36" s="5"/>
      <c r="U36" s="5"/>
      <c r="V36" s="5">
        <v>7</v>
      </c>
      <c r="W36" s="9"/>
      <c r="X36" s="9">
        <f t="shared" si="4"/>
        <v>7</v>
      </c>
      <c r="Y36" s="5">
        <f t="shared" si="5"/>
        <v>7</v>
      </c>
    </row>
    <row r="37" spans="1:25" s="8" customFormat="1" ht="9" customHeight="1">
      <c r="A37" s="6" t="s">
        <v>177</v>
      </c>
      <c r="B37" s="6">
        <v>3</v>
      </c>
      <c r="C37" s="6" t="str">
        <f t="shared" si="6"/>
        <v>660-MF1/4DC1302F</v>
      </c>
      <c r="D37" s="6" t="str">
        <f t="shared" si="7"/>
        <v>Resistor, through hole axial lead, .25W 1% Metal Film KOA Speer</v>
      </c>
      <c r="E37" s="6" t="str">
        <f t="shared" si="8"/>
        <v>Mouser</v>
      </c>
      <c r="F37" s="6"/>
      <c r="G37" s="6"/>
      <c r="H37" s="6"/>
      <c r="I37" s="6"/>
      <c r="J37" s="6"/>
      <c r="K37" s="6"/>
      <c r="L37" s="6"/>
      <c r="M37" s="6"/>
      <c r="N37" s="6"/>
      <c r="O37" s="6"/>
      <c r="P37" s="6"/>
      <c r="Q37" s="6"/>
      <c r="R37" s="6"/>
      <c r="S37" s="6">
        <f t="shared" si="3"/>
        <v>0</v>
      </c>
      <c r="T37" s="6"/>
      <c r="U37" s="6"/>
      <c r="V37" s="6">
        <v>3</v>
      </c>
      <c r="W37" s="7"/>
      <c r="X37" s="7">
        <f t="shared" si="4"/>
        <v>3</v>
      </c>
      <c r="Y37" s="6">
        <f t="shared" si="5"/>
        <v>3</v>
      </c>
    </row>
    <row r="38" spans="1:25" ht="9" customHeight="1">
      <c r="A38" s="3" t="s">
        <v>13</v>
      </c>
      <c r="B38" s="3">
        <v>14</v>
      </c>
      <c r="C38" s="3" t="str">
        <f t="shared" si="6"/>
        <v>660-MF1/4DC1502F</v>
      </c>
      <c r="D38" s="3" t="str">
        <f t="shared" si="7"/>
        <v>Resistor, through hole axial lead, .25W 1% Metal Film KOA Speer</v>
      </c>
      <c r="E38" s="3" t="str">
        <f t="shared" si="8"/>
        <v>Mouser</v>
      </c>
      <c r="F38" s="3"/>
      <c r="G38" s="3"/>
      <c r="H38" s="3">
        <v>3</v>
      </c>
      <c r="I38" s="3"/>
      <c r="J38" s="3"/>
      <c r="K38" s="3">
        <v>1</v>
      </c>
      <c r="L38" s="3"/>
      <c r="M38" s="3"/>
      <c r="N38" s="3"/>
      <c r="O38" s="3">
        <v>2</v>
      </c>
      <c r="P38" s="3">
        <v>2</v>
      </c>
      <c r="Q38" s="3"/>
      <c r="R38" s="3"/>
      <c r="S38" s="3">
        <f t="shared" si="3"/>
        <v>8</v>
      </c>
      <c r="T38" s="3"/>
      <c r="U38" s="3">
        <v>3</v>
      </c>
      <c r="V38" s="3"/>
      <c r="W38" s="4">
        <v>3</v>
      </c>
      <c r="X38" s="4">
        <f t="shared" si="4"/>
        <v>3</v>
      </c>
      <c r="Y38" s="3">
        <f t="shared" si="5"/>
        <v>14</v>
      </c>
    </row>
    <row r="39" spans="1:25" s="8" customFormat="1" ht="9" customHeight="1">
      <c r="A39" s="6" t="s">
        <v>19</v>
      </c>
      <c r="B39" s="6">
        <v>5</v>
      </c>
      <c r="C39" s="6" t="str">
        <f t="shared" si="6"/>
        <v>660-MF1/4DC1802F</v>
      </c>
      <c r="D39" s="6" t="str">
        <f t="shared" si="7"/>
        <v>Resistor, through hole axial lead, .25W 1% Metal Film KOA Speer</v>
      </c>
      <c r="E39" s="6" t="str">
        <f t="shared" si="8"/>
        <v>Mouser</v>
      </c>
      <c r="F39" s="6">
        <v>4</v>
      </c>
      <c r="G39" s="6"/>
      <c r="H39" s="6"/>
      <c r="I39" s="6"/>
      <c r="J39" s="6"/>
      <c r="K39" s="6"/>
      <c r="L39" s="6">
        <v>1</v>
      </c>
      <c r="M39" s="6"/>
      <c r="N39" s="6"/>
      <c r="O39" s="6"/>
      <c r="P39" s="6"/>
      <c r="Q39" s="6"/>
      <c r="R39" s="6"/>
      <c r="S39" s="6">
        <f t="shared" si="3"/>
        <v>5</v>
      </c>
      <c r="T39" s="6"/>
      <c r="U39" s="6"/>
      <c r="V39" s="6"/>
      <c r="W39" s="7"/>
      <c r="X39" s="7">
        <f t="shared" si="4"/>
        <v>0</v>
      </c>
      <c r="Y39" s="6">
        <f t="shared" si="5"/>
        <v>5</v>
      </c>
    </row>
    <row r="40" spans="1:25">
      <c r="A40" s="3" t="s">
        <v>37</v>
      </c>
      <c r="B40" s="3">
        <v>10</v>
      </c>
      <c r="C40" s="3" t="str">
        <f t="shared" si="6"/>
        <v>660-MF1/4DC2202F</v>
      </c>
      <c r="D40" s="3" t="str">
        <f t="shared" si="7"/>
        <v>Resistor, through hole axial lead, .25W 1% Metal Film KOA Speer</v>
      </c>
      <c r="E40" s="3" t="str">
        <f t="shared" si="8"/>
        <v>Mouser</v>
      </c>
      <c r="F40" s="3"/>
      <c r="G40" s="3"/>
      <c r="H40" s="3">
        <v>1</v>
      </c>
      <c r="I40" s="3"/>
      <c r="J40" s="3"/>
      <c r="K40" s="3">
        <v>2</v>
      </c>
      <c r="L40" s="3"/>
      <c r="M40" s="3">
        <v>1</v>
      </c>
      <c r="N40" s="3"/>
      <c r="O40" s="3"/>
      <c r="P40" s="3">
        <v>6</v>
      </c>
      <c r="Q40" s="3"/>
      <c r="R40" s="3"/>
      <c r="S40" s="3">
        <f t="shared" si="3"/>
        <v>10</v>
      </c>
      <c r="T40" s="3"/>
      <c r="U40" s="3"/>
      <c r="V40" s="3"/>
      <c r="W40" s="4"/>
      <c r="X40" s="4">
        <f t="shared" si="4"/>
        <v>0</v>
      </c>
      <c r="Y40" s="3">
        <f t="shared" si="5"/>
        <v>10</v>
      </c>
    </row>
    <row r="41" spans="1:25" s="8" customFormat="1">
      <c r="A41" s="6" t="s">
        <v>40</v>
      </c>
      <c r="B41" s="6">
        <v>1</v>
      </c>
      <c r="C41" s="6" t="str">
        <f t="shared" si="6"/>
        <v>660-MF1/4DC2322F</v>
      </c>
      <c r="D41" s="6" t="str">
        <f t="shared" si="7"/>
        <v>Resistor, through hole axial lead, .25W 1% Metal Film KOA Speer</v>
      </c>
      <c r="E41" s="6" t="str">
        <f t="shared" si="8"/>
        <v>Mouser</v>
      </c>
      <c r="F41" s="6"/>
      <c r="G41" s="6"/>
      <c r="H41" s="6"/>
      <c r="I41" s="6"/>
      <c r="J41" s="6"/>
      <c r="K41" s="6"/>
      <c r="L41" s="6"/>
      <c r="M41" s="6"/>
      <c r="N41" s="6"/>
      <c r="O41" s="6"/>
      <c r="P41" s="6"/>
      <c r="Q41" s="6"/>
      <c r="R41" s="6"/>
      <c r="S41" s="6">
        <f t="shared" si="3"/>
        <v>0</v>
      </c>
      <c r="T41" s="6"/>
      <c r="U41" s="6"/>
      <c r="V41" s="6"/>
      <c r="W41" s="7">
        <v>1</v>
      </c>
      <c r="X41" s="7">
        <f t="shared" si="4"/>
        <v>1</v>
      </c>
      <c r="Y41" s="6">
        <f t="shared" si="5"/>
        <v>1</v>
      </c>
    </row>
    <row r="42" spans="1:25" s="10" customFormat="1">
      <c r="A42" s="5" t="s">
        <v>44</v>
      </c>
      <c r="B42" s="5">
        <v>4</v>
      </c>
      <c r="C42" s="5" t="str">
        <f t="shared" si="6"/>
        <v>660-MF1/4DC2702F</v>
      </c>
      <c r="D42" s="5" t="str">
        <f t="shared" si="7"/>
        <v>Resistor, through hole axial lead, .25W 1% Metal Film KOA Speer</v>
      </c>
      <c r="E42" s="5" t="str">
        <f t="shared" si="8"/>
        <v>Mouser</v>
      </c>
      <c r="F42" s="5">
        <v>2</v>
      </c>
      <c r="G42" s="5"/>
      <c r="H42" s="5"/>
      <c r="I42" s="5"/>
      <c r="J42" s="5"/>
      <c r="K42" s="5"/>
      <c r="L42" s="5"/>
      <c r="M42" s="5"/>
      <c r="N42" s="5"/>
      <c r="O42" s="5"/>
      <c r="P42" s="5"/>
      <c r="Q42" s="5"/>
      <c r="R42" s="5"/>
      <c r="S42" s="5">
        <f t="shared" si="3"/>
        <v>2</v>
      </c>
      <c r="T42" s="5">
        <v>2</v>
      </c>
      <c r="U42" s="5"/>
      <c r="V42" s="5"/>
      <c r="W42" s="9"/>
      <c r="X42" s="9">
        <f t="shared" si="4"/>
        <v>0</v>
      </c>
      <c r="Y42" s="5">
        <f t="shared" si="5"/>
        <v>4</v>
      </c>
    </row>
    <row r="43" spans="1:25" s="8" customFormat="1">
      <c r="A43" s="6" t="s">
        <v>53</v>
      </c>
      <c r="B43" s="6">
        <v>13</v>
      </c>
      <c r="C43" s="6" t="str">
        <f t="shared" si="6"/>
        <v>660-MF1/4DC3012F</v>
      </c>
      <c r="D43" s="6" t="str">
        <f t="shared" si="7"/>
        <v>Resistor, through hole axial lead, .25W 1% Metal Film KOA Speer</v>
      </c>
      <c r="E43" s="6" t="str">
        <f t="shared" si="8"/>
        <v>Mouser</v>
      </c>
      <c r="F43" s="6"/>
      <c r="G43" s="6"/>
      <c r="H43" s="6">
        <v>3</v>
      </c>
      <c r="I43" s="6">
        <v>1</v>
      </c>
      <c r="J43" s="6"/>
      <c r="K43" s="6"/>
      <c r="L43" s="6"/>
      <c r="M43" s="6"/>
      <c r="N43" s="6"/>
      <c r="O43" s="6"/>
      <c r="P43" s="6">
        <v>2</v>
      </c>
      <c r="Q43" s="6"/>
      <c r="R43" s="6"/>
      <c r="S43" s="6">
        <f t="shared" si="3"/>
        <v>6</v>
      </c>
      <c r="T43" s="6"/>
      <c r="U43" s="6">
        <v>3</v>
      </c>
      <c r="V43" s="6"/>
      <c r="W43" s="7">
        <v>4</v>
      </c>
      <c r="X43" s="7">
        <f t="shared" si="4"/>
        <v>4</v>
      </c>
      <c r="Y43" s="6">
        <f t="shared" si="5"/>
        <v>13</v>
      </c>
    </row>
    <row r="44" spans="1:25" s="10" customFormat="1">
      <c r="A44" s="5" t="s">
        <v>55</v>
      </c>
      <c r="B44" s="5">
        <v>9</v>
      </c>
      <c r="C44" s="5" t="str">
        <f t="shared" si="6"/>
        <v>660-MF1/4DC3302F</v>
      </c>
      <c r="D44" s="5" t="str">
        <f t="shared" si="7"/>
        <v>Resistor, through hole axial lead, .25W 1% Metal Film KOA Speer</v>
      </c>
      <c r="E44" s="5" t="str">
        <f t="shared" si="8"/>
        <v>Mouser</v>
      </c>
      <c r="F44" s="5"/>
      <c r="G44" s="5">
        <v>2</v>
      </c>
      <c r="H44" s="5">
        <v>2</v>
      </c>
      <c r="I44" s="5"/>
      <c r="J44" s="5"/>
      <c r="K44" s="5">
        <v>1</v>
      </c>
      <c r="L44" s="5">
        <v>1</v>
      </c>
      <c r="M44" s="5">
        <v>2</v>
      </c>
      <c r="N44" s="5"/>
      <c r="O44" s="5"/>
      <c r="P44" s="5">
        <v>1</v>
      </c>
      <c r="Q44" s="5"/>
      <c r="R44" s="5"/>
      <c r="S44" s="5">
        <f t="shared" si="3"/>
        <v>9</v>
      </c>
      <c r="T44" s="5"/>
      <c r="U44" s="5"/>
      <c r="V44" s="5"/>
      <c r="W44" s="9"/>
      <c r="X44" s="9">
        <f t="shared" si="4"/>
        <v>0</v>
      </c>
      <c r="Y44" s="5">
        <f t="shared" si="5"/>
        <v>9</v>
      </c>
    </row>
    <row r="45" spans="1:25" s="8" customFormat="1">
      <c r="A45" s="6" t="s">
        <v>115</v>
      </c>
      <c r="B45" s="6">
        <v>3</v>
      </c>
      <c r="C45" s="6" t="str">
        <f t="shared" si="6"/>
        <v>660-MF1/4DC3322F</v>
      </c>
      <c r="D45" s="6" t="str">
        <f t="shared" si="7"/>
        <v>Resistor, through hole axial lead, .25W 1% Metal Film KOA Speer</v>
      </c>
      <c r="E45" s="6" t="str">
        <f t="shared" si="8"/>
        <v>Mouser</v>
      </c>
      <c r="F45" s="6"/>
      <c r="G45" s="6"/>
      <c r="H45" s="6"/>
      <c r="I45" s="6"/>
      <c r="J45" s="6"/>
      <c r="K45" s="6"/>
      <c r="L45" s="6"/>
      <c r="M45" s="6"/>
      <c r="N45" s="6"/>
      <c r="O45" s="6"/>
      <c r="P45" s="6"/>
      <c r="Q45" s="6"/>
      <c r="R45" s="6"/>
      <c r="S45" s="6">
        <f t="shared" si="3"/>
        <v>0</v>
      </c>
      <c r="T45" s="6"/>
      <c r="U45" s="6">
        <v>3</v>
      </c>
      <c r="V45" s="6"/>
      <c r="W45" s="7"/>
      <c r="X45" s="7">
        <f t="shared" si="4"/>
        <v>0</v>
      </c>
      <c r="Y45" s="6">
        <f t="shared" si="5"/>
        <v>3</v>
      </c>
    </row>
    <row r="46" spans="1:25" s="10" customFormat="1">
      <c r="A46" s="5" t="s">
        <v>57</v>
      </c>
      <c r="B46" s="5">
        <v>4</v>
      </c>
      <c r="C46" s="5" t="str">
        <f t="shared" si="6"/>
        <v>660-MF1/4DC3902F</v>
      </c>
      <c r="D46" s="5" t="str">
        <f t="shared" si="7"/>
        <v>Resistor, through hole axial lead, .25W 1% Metal Film KOA Speer</v>
      </c>
      <c r="E46" s="5" t="str">
        <f t="shared" si="8"/>
        <v>Mouser</v>
      </c>
      <c r="F46" s="5">
        <v>1</v>
      </c>
      <c r="G46" s="5"/>
      <c r="H46" s="5">
        <v>1</v>
      </c>
      <c r="I46" s="5"/>
      <c r="J46" s="5"/>
      <c r="K46" s="5">
        <v>1</v>
      </c>
      <c r="L46" s="5"/>
      <c r="M46" s="5"/>
      <c r="N46" s="5"/>
      <c r="O46" s="5"/>
      <c r="P46" s="5"/>
      <c r="Q46" s="5"/>
      <c r="R46" s="5"/>
      <c r="S46" s="5">
        <f t="shared" si="3"/>
        <v>3</v>
      </c>
      <c r="T46" s="5"/>
      <c r="U46" s="5"/>
      <c r="V46" s="5">
        <v>1</v>
      </c>
      <c r="W46" s="9"/>
      <c r="X46" s="9">
        <f t="shared" si="4"/>
        <v>1</v>
      </c>
      <c r="Y46" s="5">
        <f t="shared" si="5"/>
        <v>4</v>
      </c>
    </row>
    <row r="47" spans="1:25" s="8" customFormat="1">
      <c r="A47" s="6" t="s">
        <v>65</v>
      </c>
      <c r="B47" s="6">
        <v>1</v>
      </c>
      <c r="C47" s="6" t="str">
        <f t="shared" si="6"/>
        <v>660-MF1/4DC4022F</v>
      </c>
      <c r="D47" s="6" t="str">
        <f t="shared" si="7"/>
        <v>Resistor, through hole axial lead, .25W 1% Metal Film KOA Speer</v>
      </c>
      <c r="E47" s="6" t="str">
        <f t="shared" si="8"/>
        <v>Mouser</v>
      </c>
      <c r="F47" s="6"/>
      <c r="G47" s="6"/>
      <c r="H47" s="6"/>
      <c r="I47" s="6"/>
      <c r="J47" s="6"/>
      <c r="K47" s="6">
        <v>1</v>
      </c>
      <c r="L47" s="6"/>
      <c r="M47" s="6"/>
      <c r="N47" s="6"/>
      <c r="O47" s="6"/>
      <c r="P47" s="6"/>
      <c r="Q47" s="6"/>
      <c r="R47" s="6"/>
      <c r="S47" s="6">
        <f t="shared" si="3"/>
        <v>1</v>
      </c>
      <c r="T47" s="6"/>
      <c r="U47" s="6"/>
      <c r="V47" s="6"/>
      <c r="W47" s="7"/>
      <c r="X47" s="7">
        <f t="shared" si="4"/>
        <v>0</v>
      </c>
      <c r="Y47" s="6">
        <f t="shared" si="5"/>
        <v>1</v>
      </c>
    </row>
    <row r="48" spans="1:25">
      <c r="A48" s="3" t="s">
        <v>67</v>
      </c>
      <c r="B48" s="3">
        <v>4</v>
      </c>
      <c r="C48" s="3" t="str">
        <f t="shared" si="6"/>
        <v>660-MF1/4DC4532F</v>
      </c>
      <c r="D48" s="3" t="str">
        <f t="shared" si="7"/>
        <v>Resistor, through hole axial lead, .25W 1% Metal Film KOA Speer</v>
      </c>
      <c r="E48" s="3" t="str">
        <f t="shared" si="8"/>
        <v>Mouser</v>
      </c>
      <c r="F48" s="3"/>
      <c r="G48" s="3"/>
      <c r="H48" s="3"/>
      <c r="I48" s="3">
        <v>1</v>
      </c>
      <c r="J48" s="3"/>
      <c r="K48" s="3"/>
      <c r="L48" s="3"/>
      <c r="M48" s="3"/>
      <c r="N48" s="3"/>
      <c r="O48" s="3"/>
      <c r="P48" s="3"/>
      <c r="Q48" s="3"/>
      <c r="R48" s="3"/>
      <c r="S48" s="3">
        <f t="shared" si="3"/>
        <v>1</v>
      </c>
      <c r="T48" s="3"/>
      <c r="U48" s="3">
        <v>3</v>
      </c>
      <c r="V48" s="3"/>
      <c r="W48" s="4"/>
      <c r="X48" s="4">
        <f t="shared" si="4"/>
        <v>0</v>
      </c>
      <c r="Y48" s="3">
        <f t="shared" si="5"/>
        <v>4</v>
      </c>
    </row>
    <row r="49" spans="1:25" s="8" customFormat="1">
      <c r="A49" s="6" t="s">
        <v>71</v>
      </c>
      <c r="B49" s="6">
        <v>20</v>
      </c>
      <c r="C49" s="6" t="str">
        <f t="shared" si="6"/>
        <v>660-MF1/4DC4702F</v>
      </c>
      <c r="D49" s="6" t="str">
        <f t="shared" si="7"/>
        <v>Resistor, through hole axial lead, .25W 1% Metal Film KOA Speer</v>
      </c>
      <c r="E49" s="6" t="str">
        <f t="shared" si="8"/>
        <v>Mouser</v>
      </c>
      <c r="F49" s="6">
        <v>1</v>
      </c>
      <c r="G49" s="6"/>
      <c r="H49" s="6"/>
      <c r="I49" s="6"/>
      <c r="J49" s="6"/>
      <c r="K49" s="6"/>
      <c r="L49" s="6">
        <v>1</v>
      </c>
      <c r="M49" s="6">
        <v>1</v>
      </c>
      <c r="N49" s="6">
        <v>1</v>
      </c>
      <c r="O49" s="6"/>
      <c r="P49" s="6">
        <v>4</v>
      </c>
      <c r="Q49" s="6"/>
      <c r="R49" s="6">
        <v>8</v>
      </c>
      <c r="S49" s="6">
        <f t="shared" si="3"/>
        <v>16</v>
      </c>
      <c r="T49" s="6"/>
      <c r="U49" s="6"/>
      <c r="V49" s="6"/>
      <c r="W49" s="7"/>
      <c r="X49" s="7">
        <f t="shared" si="4"/>
        <v>0</v>
      </c>
      <c r="Y49" s="6">
        <f t="shared" si="5"/>
        <v>16</v>
      </c>
    </row>
    <row r="50" spans="1:25">
      <c r="A50" s="3" t="s">
        <v>76</v>
      </c>
      <c r="B50" s="3">
        <v>1</v>
      </c>
      <c r="C50" s="3" t="str">
        <f t="shared" si="6"/>
        <v>660-MF1/4DC5492F</v>
      </c>
      <c r="D50" s="3" t="str">
        <f t="shared" si="7"/>
        <v>Resistor, through hole axial lead, .25W 1% Metal Film KOA Speer</v>
      </c>
      <c r="E50" s="3" t="str">
        <f t="shared" si="8"/>
        <v>Mouser</v>
      </c>
      <c r="F50" s="3"/>
      <c r="G50" s="3"/>
      <c r="H50" s="3"/>
      <c r="I50" s="3"/>
      <c r="J50" s="3"/>
      <c r="K50" s="3"/>
      <c r="L50" s="3">
        <v>1</v>
      </c>
      <c r="M50" s="3"/>
      <c r="N50" s="3"/>
      <c r="O50" s="3"/>
      <c r="P50" s="3"/>
      <c r="Q50" s="3"/>
      <c r="R50" s="3"/>
      <c r="S50" s="3">
        <f t="shared" si="3"/>
        <v>1</v>
      </c>
      <c r="T50" s="3"/>
      <c r="U50" s="3"/>
      <c r="V50" s="3"/>
      <c r="W50" s="4"/>
      <c r="X50" s="4">
        <f t="shared" si="4"/>
        <v>0</v>
      </c>
      <c r="Y50" s="3">
        <f t="shared" si="5"/>
        <v>1</v>
      </c>
    </row>
    <row r="51" spans="1:25" s="8" customFormat="1">
      <c r="A51" s="6" t="s">
        <v>78</v>
      </c>
      <c r="B51" s="6">
        <v>4</v>
      </c>
      <c r="C51" s="6" t="str">
        <f t="shared" si="6"/>
        <v>660-MF1/4DC5602F</v>
      </c>
      <c r="D51" s="6" t="str">
        <f t="shared" si="7"/>
        <v>Resistor, through hole axial lead, .25W 1% Metal Film KOA Speer</v>
      </c>
      <c r="E51" s="6" t="str">
        <f t="shared" si="8"/>
        <v>Mouser</v>
      </c>
      <c r="F51" s="6"/>
      <c r="G51" s="6"/>
      <c r="H51" s="6"/>
      <c r="I51" s="6"/>
      <c r="J51" s="6"/>
      <c r="K51" s="6"/>
      <c r="L51" s="6">
        <v>2</v>
      </c>
      <c r="M51" s="6"/>
      <c r="N51" s="6"/>
      <c r="O51" s="6"/>
      <c r="P51" s="6"/>
      <c r="Q51" s="6"/>
      <c r="R51" s="6"/>
      <c r="S51" s="6">
        <f t="shared" si="3"/>
        <v>2</v>
      </c>
      <c r="T51" s="6"/>
      <c r="U51" s="6"/>
      <c r="V51" s="6">
        <v>1</v>
      </c>
      <c r="W51" s="7">
        <v>1</v>
      </c>
      <c r="X51" s="7">
        <f t="shared" si="4"/>
        <v>2</v>
      </c>
      <c r="Y51" s="6">
        <f t="shared" si="5"/>
        <v>4</v>
      </c>
    </row>
    <row r="52" spans="1:25">
      <c r="A52" s="3" t="s">
        <v>83</v>
      </c>
      <c r="B52" s="3">
        <v>8</v>
      </c>
      <c r="C52" s="3" t="str">
        <f t="shared" si="6"/>
        <v>660-MF1/4DC6192F</v>
      </c>
      <c r="D52" s="3" t="str">
        <f t="shared" si="7"/>
        <v>Resistor, through hole axial lead, .25W 1% Metal Film KOA Speer</v>
      </c>
      <c r="E52" s="3" t="str">
        <f t="shared" si="8"/>
        <v>Mouser</v>
      </c>
      <c r="F52" s="3"/>
      <c r="G52" s="3"/>
      <c r="H52" s="3"/>
      <c r="I52" s="3"/>
      <c r="J52" s="3"/>
      <c r="K52" s="3"/>
      <c r="L52" s="3"/>
      <c r="M52" s="3"/>
      <c r="N52" s="3"/>
      <c r="O52" s="3"/>
      <c r="P52" s="3">
        <v>2</v>
      </c>
      <c r="Q52" s="3"/>
      <c r="R52" s="3"/>
      <c r="S52" s="3">
        <f t="shared" si="3"/>
        <v>2</v>
      </c>
      <c r="T52" s="3"/>
      <c r="U52" s="3">
        <v>6</v>
      </c>
      <c r="V52" s="3"/>
      <c r="W52" s="4"/>
      <c r="X52" s="4">
        <f t="shared" si="4"/>
        <v>0</v>
      </c>
      <c r="Y52" s="3">
        <f t="shared" si="5"/>
        <v>8</v>
      </c>
    </row>
    <row r="53" spans="1:25" s="8" customFormat="1">
      <c r="A53" s="6" t="s">
        <v>87</v>
      </c>
      <c r="B53" s="6">
        <v>9</v>
      </c>
      <c r="C53" s="6" t="str">
        <f t="shared" si="6"/>
        <v>660-MF1/4DC6802F</v>
      </c>
      <c r="D53" s="6" t="str">
        <f t="shared" si="7"/>
        <v>Resistor, through hole axial lead, .25W 1% Metal Film KOA Speer</v>
      </c>
      <c r="E53" s="6" t="str">
        <f t="shared" si="8"/>
        <v>Mouser</v>
      </c>
      <c r="F53" s="6"/>
      <c r="G53" s="6"/>
      <c r="H53" s="6">
        <v>1</v>
      </c>
      <c r="I53" s="6"/>
      <c r="J53" s="6"/>
      <c r="K53" s="6">
        <v>2</v>
      </c>
      <c r="L53" s="6"/>
      <c r="M53" s="6">
        <v>2</v>
      </c>
      <c r="N53" s="6"/>
      <c r="O53" s="6"/>
      <c r="P53" s="6">
        <v>1</v>
      </c>
      <c r="Q53" s="6"/>
      <c r="R53" s="6"/>
      <c r="S53" s="6">
        <f t="shared" si="3"/>
        <v>6</v>
      </c>
      <c r="T53" s="6"/>
      <c r="U53" s="6">
        <v>3</v>
      </c>
      <c r="V53" s="6"/>
      <c r="W53" s="7"/>
      <c r="X53" s="7">
        <f t="shared" si="4"/>
        <v>0</v>
      </c>
      <c r="Y53" s="6">
        <f t="shared" si="5"/>
        <v>9</v>
      </c>
    </row>
    <row r="54" spans="1:25" s="10" customFormat="1">
      <c r="A54" s="5" t="s">
        <v>89</v>
      </c>
      <c r="B54" s="5">
        <v>1</v>
      </c>
      <c r="C54" s="5" t="str">
        <f t="shared" ref="C54:C77" si="9">VLOOKUP($A54,resistors,4,FALSE)</f>
        <v>660-MF1/4DC6812F</v>
      </c>
      <c r="D54" s="5" t="str">
        <f t="shared" ref="D54:D77" si="10">VLOOKUP($A54,resistors,2,FALSE)&amp;" "&amp;VLOOKUP($A54,resistors,5,FALSE)</f>
        <v>Resistor, through hole axial lead, .25W 1% Metal Film KOA Speer</v>
      </c>
      <c r="E54" s="5" t="str">
        <f t="shared" ref="E54:E77" si="11">VLOOKUP($A54,resistors,3,FALSE)</f>
        <v>Mouser</v>
      </c>
      <c r="F54" s="5"/>
      <c r="G54" s="5"/>
      <c r="H54" s="5"/>
      <c r="I54" s="5"/>
      <c r="J54" s="5"/>
      <c r="K54" s="5">
        <v>1</v>
      </c>
      <c r="L54" s="5"/>
      <c r="M54" s="5"/>
      <c r="N54" s="5"/>
      <c r="O54" s="5"/>
      <c r="P54" s="5"/>
      <c r="Q54" s="5"/>
      <c r="R54" s="5"/>
      <c r="S54" s="5">
        <f t="shared" si="3"/>
        <v>1</v>
      </c>
      <c r="T54" s="5"/>
      <c r="U54" s="5"/>
      <c r="V54" s="5"/>
      <c r="W54" s="9"/>
      <c r="X54" s="9">
        <f t="shared" si="4"/>
        <v>0</v>
      </c>
      <c r="Y54" s="5">
        <f t="shared" si="5"/>
        <v>1</v>
      </c>
    </row>
    <row r="55" spans="1:25" s="8" customFormat="1">
      <c r="A55" s="6" t="s">
        <v>93</v>
      </c>
      <c r="B55" s="6">
        <v>4</v>
      </c>
      <c r="C55" s="6" t="str">
        <f t="shared" si="9"/>
        <v>660-MF1/4DC8202F</v>
      </c>
      <c r="D55" s="6" t="str">
        <f t="shared" si="10"/>
        <v>Resistor, through hole axial lead, .25W 1% Metal Film KOA Speer</v>
      </c>
      <c r="E55" s="6" t="str">
        <f t="shared" si="11"/>
        <v>Mouser</v>
      </c>
      <c r="F55" s="6">
        <v>2</v>
      </c>
      <c r="G55" s="6"/>
      <c r="H55" s="6"/>
      <c r="I55" s="6"/>
      <c r="J55" s="6"/>
      <c r="K55" s="6"/>
      <c r="L55" s="6"/>
      <c r="M55" s="6"/>
      <c r="N55" s="6"/>
      <c r="O55" s="6"/>
      <c r="P55" s="6">
        <v>2</v>
      </c>
      <c r="Q55" s="6"/>
      <c r="R55" s="6"/>
      <c r="S55" s="6">
        <f t="shared" si="3"/>
        <v>4</v>
      </c>
      <c r="T55" s="6"/>
      <c r="U55" s="6"/>
      <c r="V55" s="6"/>
      <c r="W55" s="7"/>
      <c r="X55" s="7">
        <f t="shared" si="4"/>
        <v>0</v>
      </c>
      <c r="Y55" s="6">
        <f t="shared" si="5"/>
        <v>4</v>
      </c>
    </row>
    <row r="56" spans="1:25">
      <c r="A56" s="3" t="s">
        <v>95</v>
      </c>
      <c r="B56" s="3">
        <v>3</v>
      </c>
      <c r="C56" s="3" t="str">
        <f t="shared" si="9"/>
        <v>660-MF1/4DC8452F</v>
      </c>
      <c r="D56" s="3" t="str">
        <f t="shared" si="10"/>
        <v>Resistor, through hole axial lead, .25W 1% Metal Film KOA Speer</v>
      </c>
      <c r="E56" s="3" t="str">
        <f t="shared" si="11"/>
        <v>Mouser</v>
      </c>
      <c r="F56" s="3"/>
      <c r="G56" s="3">
        <v>1</v>
      </c>
      <c r="H56" s="3">
        <v>1</v>
      </c>
      <c r="I56" s="3">
        <v>1</v>
      </c>
      <c r="J56" s="3"/>
      <c r="K56" s="3"/>
      <c r="L56" s="3"/>
      <c r="M56" s="3"/>
      <c r="N56" s="3"/>
      <c r="O56" s="3"/>
      <c r="P56" s="3"/>
      <c r="Q56" s="3"/>
      <c r="R56" s="3"/>
      <c r="S56" s="3">
        <f t="shared" si="3"/>
        <v>3</v>
      </c>
      <c r="T56" s="3"/>
      <c r="U56" s="3"/>
      <c r="V56" s="3"/>
      <c r="W56" s="4"/>
      <c r="X56" s="4">
        <f t="shared" si="4"/>
        <v>0</v>
      </c>
      <c r="Y56" s="3">
        <f t="shared" si="5"/>
        <v>3</v>
      </c>
    </row>
    <row r="57" spans="1:25" s="8" customFormat="1">
      <c r="A57" s="6" t="s">
        <v>4</v>
      </c>
      <c r="B57" s="6">
        <v>62</v>
      </c>
      <c r="C57" s="6" t="str">
        <f t="shared" si="9"/>
        <v>660-MF1/4DC1003F</v>
      </c>
      <c r="D57" s="6" t="str">
        <f t="shared" si="10"/>
        <v>Resistor, through hole axial lead, .25W 1% Metal Film KOA Speer</v>
      </c>
      <c r="E57" s="6" t="str">
        <f t="shared" si="11"/>
        <v>Mouser</v>
      </c>
      <c r="F57" s="6">
        <v>7</v>
      </c>
      <c r="G57" s="6">
        <v>1</v>
      </c>
      <c r="H57" s="6">
        <v>1</v>
      </c>
      <c r="I57" s="6">
        <v>1</v>
      </c>
      <c r="J57" s="6">
        <v>8</v>
      </c>
      <c r="K57" s="6">
        <v>2</v>
      </c>
      <c r="L57" s="6">
        <v>4</v>
      </c>
      <c r="M57" s="6">
        <v>9</v>
      </c>
      <c r="N57" s="6">
        <v>1</v>
      </c>
      <c r="O57" s="6">
        <v>9</v>
      </c>
      <c r="P57" s="6">
        <v>5</v>
      </c>
      <c r="Q57" s="6">
        <v>2</v>
      </c>
      <c r="R57" s="6">
        <v>2</v>
      </c>
      <c r="S57" s="6">
        <f t="shared" si="3"/>
        <v>52</v>
      </c>
      <c r="T57" s="6"/>
      <c r="U57" s="6">
        <v>3</v>
      </c>
      <c r="V57" s="6">
        <v>4</v>
      </c>
      <c r="W57" s="7">
        <v>3</v>
      </c>
      <c r="X57" s="7">
        <f t="shared" si="4"/>
        <v>7</v>
      </c>
      <c r="Y57" s="6">
        <f t="shared" si="5"/>
        <v>62</v>
      </c>
    </row>
    <row r="58" spans="1:25" s="10" customFormat="1">
      <c r="A58" s="5" t="s">
        <v>7</v>
      </c>
      <c r="B58" s="5">
        <v>3</v>
      </c>
      <c r="C58" s="5" t="str">
        <f t="shared" si="9"/>
        <v>660-MF1/4DC1203F</v>
      </c>
      <c r="D58" s="5" t="str">
        <f t="shared" si="10"/>
        <v>Resistor, through hole axial lead, .25W 1% Metal Film KOA Speer</v>
      </c>
      <c r="E58" s="5" t="str">
        <f t="shared" si="11"/>
        <v>Mouser</v>
      </c>
      <c r="F58" s="5">
        <v>1</v>
      </c>
      <c r="G58" s="5"/>
      <c r="H58" s="5">
        <v>1</v>
      </c>
      <c r="I58" s="5"/>
      <c r="J58" s="5"/>
      <c r="K58" s="5">
        <v>1</v>
      </c>
      <c r="L58" s="5"/>
      <c r="M58" s="5"/>
      <c r="N58" s="5"/>
      <c r="O58" s="5"/>
      <c r="P58" s="5"/>
      <c r="Q58" s="5"/>
      <c r="R58" s="5"/>
      <c r="S58" s="5">
        <f t="shared" si="3"/>
        <v>3</v>
      </c>
      <c r="T58" s="5"/>
      <c r="U58" s="5"/>
      <c r="V58" s="5"/>
      <c r="W58" s="9"/>
      <c r="X58" s="9">
        <f t="shared" si="4"/>
        <v>0</v>
      </c>
      <c r="Y58" s="5">
        <f t="shared" si="5"/>
        <v>3</v>
      </c>
    </row>
    <row r="59" spans="1:25" s="8" customFormat="1">
      <c r="A59" s="6" t="s">
        <v>8</v>
      </c>
      <c r="B59" s="6">
        <v>4</v>
      </c>
      <c r="C59" s="6" t="str">
        <f t="shared" si="9"/>
        <v>660-MF1/4DC1213F</v>
      </c>
      <c r="D59" s="6" t="str">
        <f t="shared" si="10"/>
        <v>Resistor, through hole axial lead, .25W 1% Metal Film KOA Speer</v>
      </c>
      <c r="E59" s="6" t="str">
        <f t="shared" si="11"/>
        <v>Mouser</v>
      </c>
      <c r="F59" s="6"/>
      <c r="G59" s="6"/>
      <c r="H59" s="6">
        <v>1</v>
      </c>
      <c r="I59" s="6"/>
      <c r="J59" s="6"/>
      <c r="K59" s="6"/>
      <c r="L59" s="6"/>
      <c r="M59" s="6"/>
      <c r="N59" s="6"/>
      <c r="O59" s="6"/>
      <c r="P59" s="6"/>
      <c r="Q59" s="6"/>
      <c r="R59" s="6"/>
      <c r="S59" s="6">
        <f t="shared" si="3"/>
        <v>1</v>
      </c>
      <c r="T59" s="6"/>
      <c r="U59" s="6">
        <v>3</v>
      </c>
      <c r="V59" s="6"/>
      <c r="W59" s="7"/>
      <c r="X59" s="7">
        <f t="shared" si="4"/>
        <v>0</v>
      </c>
      <c r="Y59" s="6">
        <f t="shared" si="5"/>
        <v>4</v>
      </c>
    </row>
    <row r="60" spans="1:25">
      <c r="A60" s="3" t="s">
        <v>11</v>
      </c>
      <c r="B60" s="3">
        <v>9</v>
      </c>
      <c r="C60" s="3" t="str">
        <f t="shared" si="9"/>
        <v>660-MF1/4DC1503F</v>
      </c>
      <c r="D60" s="3" t="str">
        <f t="shared" si="10"/>
        <v>Resistor, through hole axial lead, .25W 1% Metal Film KOA Speer</v>
      </c>
      <c r="E60" s="3" t="str">
        <f t="shared" si="11"/>
        <v>Mouser</v>
      </c>
      <c r="F60" s="3"/>
      <c r="G60" s="3">
        <v>1</v>
      </c>
      <c r="H60" s="3">
        <v>1</v>
      </c>
      <c r="I60" s="3">
        <v>1</v>
      </c>
      <c r="J60" s="3">
        <v>2</v>
      </c>
      <c r="K60" s="3"/>
      <c r="L60" s="3">
        <v>1</v>
      </c>
      <c r="M60" s="3"/>
      <c r="N60" s="3"/>
      <c r="O60" s="3"/>
      <c r="P60" s="3">
        <v>3</v>
      </c>
      <c r="Q60" s="3"/>
      <c r="R60" s="3"/>
      <c r="S60" s="3">
        <f t="shared" si="3"/>
        <v>9</v>
      </c>
      <c r="T60" s="3"/>
      <c r="U60" s="3"/>
      <c r="V60" s="3"/>
      <c r="W60" s="4"/>
      <c r="X60" s="4">
        <f t="shared" si="4"/>
        <v>0</v>
      </c>
      <c r="Y60" s="3">
        <f t="shared" si="5"/>
        <v>9</v>
      </c>
    </row>
    <row r="61" spans="1:25" s="8" customFormat="1">
      <c r="A61" s="6" t="s">
        <v>15</v>
      </c>
      <c r="B61" s="6">
        <v>7</v>
      </c>
      <c r="C61" s="6" t="str">
        <f t="shared" si="9"/>
        <v>660-MF1/4DC1803F</v>
      </c>
      <c r="D61" s="6" t="str">
        <f t="shared" si="10"/>
        <v>Resistor, through hole axial lead, .25W 1% Metal Film KOA Speer</v>
      </c>
      <c r="E61" s="6" t="str">
        <f t="shared" si="11"/>
        <v>Mouser</v>
      </c>
      <c r="F61" s="6">
        <v>1</v>
      </c>
      <c r="G61" s="6"/>
      <c r="H61" s="6">
        <v>1</v>
      </c>
      <c r="I61" s="6"/>
      <c r="J61" s="6"/>
      <c r="K61" s="6">
        <v>2</v>
      </c>
      <c r="L61" s="6">
        <v>1</v>
      </c>
      <c r="M61" s="6">
        <v>2</v>
      </c>
      <c r="N61" s="6"/>
      <c r="O61" s="6"/>
      <c r="P61" s="6"/>
      <c r="Q61" s="6"/>
      <c r="R61" s="6"/>
      <c r="S61" s="6">
        <f t="shared" si="3"/>
        <v>7</v>
      </c>
      <c r="T61" s="6"/>
      <c r="U61" s="6"/>
      <c r="V61" s="6"/>
      <c r="W61" s="7"/>
      <c r="X61" s="7">
        <f t="shared" si="4"/>
        <v>0</v>
      </c>
      <c r="Y61" s="6">
        <f t="shared" si="5"/>
        <v>7</v>
      </c>
    </row>
    <row r="62" spans="1:25">
      <c r="A62" s="3" t="s">
        <v>17</v>
      </c>
      <c r="B62" s="3">
        <v>1</v>
      </c>
      <c r="C62" s="3" t="str">
        <f t="shared" si="9"/>
        <v>660-MF1/4DC1823F</v>
      </c>
      <c r="D62" s="3" t="str">
        <f t="shared" si="10"/>
        <v>Resistor, through hole axial lead, .25W 1% Metal Film KOA Speer</v>
      </c>
      <c r="E62" s="3" t="str">
        <f t="shared" si="11"/>
        <v>Mouser</v>
      </c>
      <c r="F62" s="3"/>
      <c r="G62" s="3"/>
      <c r="H62" s="3"/>
      <c r="I62" s="3"/>
      <c r="J62" s="3"/>
      <c r="K62" s="3"/>
      <c r="L62" s="3">
        <v>1</v>
      </c>
      <c r="M62" s="3"/>
      <c r="N62" s="3"/>
      <c r="O62" s="3"/>
      <c r="P62" s="3"/>
      <c r="Q62" s="3"/>
      <c r="R62" s="3"/>
      <c r="S62" s="3">
        <f t="shared" si="3"/>
        <v>1</v>
      </c>
      <c r="T62" s="3"/>
      <c r="U62" s="3"/>
      <c r="V62" s="3"/>
      <c r="W62" s="4"/>
      <c r="X62" s="4">
        <f t="shared" si="4"/>
        <v>0</v>
      </c>
      <c r="Y62" s="3">
        <f t="shared" si="5"/>
        <v>1</v>
      </c>
    </row>
    <row r="63" spans="1:25" s="8" customFormat="1">
      <c r="A63" s="6" t="s">
        <v>21</v>
      </c>
      <c r="B63" s="6">
        <v>3</v>
      </c>
      <c r="C63" s="6" t="str">
        <f t="shared" si="9"/>
        <v>660-MF1/4DC1963F</v>
      </c>
      <c r="D63" s="6" t="str">
        <f t="shared" si="10"/>
        <v>Resistor, through hole axial lead, .25W 1% Metal Film KOA Speer</v>
      </c>
      <c r="E63" s="6" t="str">
        <f t="shared" si="11"/>
        <v>Mouser</v>
      </c>
      <c r="F63" s="6"/>
      <c r="G63" s="6"/>
      <c r="H63" s="6">
        <v>1</v>
      </c>
      <c r="I63" s="6"/>
      <c r="J63" s="6"/>
      <c r="K63" s="6"/>
      <c r="L63" s="6"/>
      <c r="M63" s="6"/>
      <c r="N63" s="6"/>
      <c r="O63" s="6"/>
      <c r="P63" s="6"/>
      <c r="Q63" s="6"/>
      <c r="R63" s="6"/>
      <c r="S63" s="6">
        <f t="shared" si="3"/>
        <v>1</v>
      </c>
      <c r="T63" s="6"/>
      <c r="U63" s="6"/>
      <c r="V63" s="6">
        <v>1</v>
      </c>
      <c r="W63" s="7">
        <v>1</v>
      </c>
      <c r="X63" s="7">
        <f t="shared" si="4"/>
        <v>2</v>
      </c>
      <c r="Y63" s="6">
        <f t="shared" si="5"/>
        <v>3</v>
      </c>
    </row>
    <row r="64" spans="1:25">
      <c r="A64" s="3" t="s">
        <v>35</v>
      </c>
      <c r="B64" s="3">
        <v>19</v>
      </c>
      <c r="C64" s="3" t="str">
        <f t="shared" si="9"/>
        <v>660-MF1/4DC2203F</v>
      </c>
      <c r="D64" s="3" t="str">
        <f t="shared" si="10"/>
        <v>Resistor, through hole axial lead, .25W 1% Metal Film KOA Speer</v>
      </c>
      <c r="E64" s="3" t="str">
        <f t="shared" si="11"/>
        <v>Mouser</v>
      </c>
      <c r="F64" s="3"/>
      <c r="G64" s="3">
        <v>3</v>
      </c>
      <c r="H64" s="3">
        <v>3</v>
      </c>
      <c r="I64" s="3">
        <v>3</v>
      </c>
      <c r="J64" s="3"/>
      <c r="K64" s="3"/>
      <c r="L64" s="3">
        <v>1</v>
      </c>
      <c r="M64" s="3">
        <v>5</v>
      </c>
      <c r="N64" s="3"/>
      <c r="O64" s="3"/>
      <c r="P64" s="3"/>
      <c r="Q64" s="3">
        <v>2</v>
      </c>
      <c r="R64" s="3"/>
      <c r="S64" s="3">
        <f t="shared" si="3"/>
        <v>17</v>
      </c>
      <c r="T64" s="3"/>
      <c r="U64" s="3"/>
      <c r="V64" s="3">
        <v>1</v>
      </c>
      <c r="W64" s="4">
        <v>1</v>
      </c>
      <c r="X64" s="4">
        <f t="shared" si="4"/>
        <v>2</v>
      </c>
      <c r="Y64" s="3">
        <f t="shared" si="5"/>
        <v>19</v>
      </c>
    </row>
    <row r="65" spans="1:25" s="8" customFormat="1">
      <c r="A65" s="6" t="s">
        <v>42</v>
      </c>
      <c r="B65" s="6">
        <v>4</v>
      </c>
      <c r="C65" s="6" t="str">
        <f t="shared" si="9"/>
        <v>660-MF1/4DC2703F</v>
      </c>
      <c r="D65" s="6" t="str">
        <f t="shared" si="10"/>
        <v>Resistor, through hole axial lead, .25W 1% Metal Film KOA Speer</v>
      </c>
      <c r="E65" s="6" t="str">
        <f t="shared" si="11"/>
        <v>Mouser</v>
      </c>
      <c r="F65" s="6">
        <v>1</v>
      </c>
      <c r="G65" s="6"/>
      <c r="H65" s="6"/>
      <c r="I65" s="6"/>
      <c r="J65" s="6"/>
      <c r="K65" s="6">
        <v>1</v>
      </c>
      <c r="L65" s="6"/>
      <c r="M65" s="6"/>
      <c r="N65" s="6">
        <v>1</v>
      </c>
      <c r="O65" s="6"/>
      <c r="P65" s="6"/>
      <c r="Q65" s="6"/>
      <c r="R65" s="6"/>
      <c r="S65" s="6">
        <f t="shared" si="3"/>
        <v>3</v>
      </c>
      <c r="T65" s="6"/>
      <c r="U65" s="6"/>
      <c r="V65" s="6">
        <v>1</v>
      </c>
      <c r="W65" s="7"/>
      <c r="X65" s="7">
        <f t="shared" si="4"/>
        <v>1</v>
      </c>
      <c r="Y65" s="6">
        <f t="shared" si="5"/>
        <v>4</v>
      </c>
    </row>
    <row r="66" spans="1:25" s="10" customFormat="1">
      <c r="A66" s="5" t="s">
        <v>69</v>
      </c>
      <c r="B66" s="5">
        <v>9</v>
      </c>
      <c r="C66" s="5" t="str">
        <f t="shared" si="9"/>
        <v>660-MF1/4DC4703F</v>
      </c>
      <c r="D66" s="5" t="str">
        <f t="shared" si="10"/>
        <v>Resistor, through hole axial lead, .25W 1% Metal Film KOA Speer</v>
      </c>
      <c r="E66" s="5" t="str">
        <f t="shared" si="11"/>
        <v>Mouser</v>
      </c>
      <c r="F66" s="5"/>
      <c r="G66" s="5">
        <v>1</v>
      </c>
      <c r="H66" s="5">
        <v>1</v>
      </c>
      <c r="I66" s="5">
        <v>1</v>
      </c>
      <c r="J66" s="5"/>
      <c r="K66" s="5">
        <v>1</v>
      </c>
      <c r="L66" s="5"/>
      <c r="M66" s="5">
        <v>3</v>
      </c>
      <c r="N66" s="5"/>
      <c r="O66" s="5"/>
      <c r="P66" s="5">
        <v>2</v>
      </c>
      <c r="Q66" s="5"/>
      <c r="R66" s="5"/>
      <c r="S66" s="5">
        <f t="shared" si="3"/>
        <v>9</v>
      </c>
      <c r="T66" s="5"/>
      <c r="U66" s="5"/>
      <c r="V66" s="5"/>
      <c r="W66" s="9"/>
      <c r="X66" s="9">
        <f t="shared" si="4"/>
        <v>0</v>
      </c>
      <c r="Y66" s="5">
        <f t="shared" si="5"/>
        <v>9</v>
      </c>
    </row>
    <row r="67" spans="1:25" s="8" customFormat="1">
      <c r="A67" s="6" t="s">
        <v>117</v>
      </c>
      <c r="B67" s="6">
        <v>3</v>
      </c>
      <c r="C67" s="6" t="str">
        <f t="shared" si="9"/>
        <v>660-MF1/4DC4753F</v>
      </c>
      <c r="D67" s="6" t="str">
        <f t="shared" si="10"/>
        <v>Resistor, through hole axial lead, .25W 1% Metal Film KOA Speer</v>
      </c>
      <c r="E67" s="6" t="str">
        <f t="shared" si="11"/>
        <v>Mouser</v>
      </c>
      <c r="F67" s="6"/>
      <c r="G67" s="6"/>
      <c r="H67" s="6"/>
      <c r="I67" s="6"/>
      <c r="J67" s="6"/>
      <c r="K67" s="6"/>
      <c r="L67" s="6"/>
      <c r="M67" s="6"/>
      <c r="N67" s="6"/>
      <c r="O67" s="6"/>
      <c r="P67" s="6"/>
      <c r="Q67" s="6"/>
      <c r="R67" s="6"/>
      <c r="S67" s="6">
        <f t="shared" si="3"/>
        <v>0</v>
      </c>
      <c r="T67" s="6"/>
      <c r="U67" s="6">
        <v>3</v>
      </c>
      <c r="V67" s="6"/>
      <c r="W67" s="7"/>
      <c r="X67" s="7">
        <f t="shared" si="4"/>
        <v>0</v>
      </c>
      <c r="Y67" s="6">
        <f t="shared" si="5"/>
        <v>3</v>
      </c>
    </row>
    <row r="68" spans="1:25">
      <c r="A68" s="3" t="s">
        <v>85</v>
      </c>
      <c r="B68" s="3">
        <v>1</v>
      </c>
      <c r="C68" s="3" t="str">
        <f t="shared" si="9"/>
        <v>660-MF1/4DC6803F</v>
      </c>
      <c r="D68" s="3" t="str">
        <f t="shared" si="10"/>
        <v>Resistor, through hole axial lead, .25W 1% Metal Film KOA Speer</v>
      </c>
      <c r="E68" s="3" t="str">
        <f t="shared" si="11"/>
        <v>Mouser</v>
      </c>
      <c r="F68" s="3"/>
      <c r="G68" s="3"/>
      <c r="H68" s="3"/>
      <c r="I68" s="3"/>
      <c r="J68" s="3"/>
      <c r="K68" s="3"/>
      <c r="L68" s="3">
        <v>1</v>
      </c>
      <c r="M68" s="3"/>
      <c r="N68" s="3"/>
      <c r="O68" s="3"/>
      <c r="P68" s="3"/>
      <c r="Q68" s="3"/>
      <c r="R68" s="3"/>
      <c r="S68" s="3">
        <f t="shared" si="3"/>
        <v>1</v>
      </c>
      <c r="T68" s="3"/>
      <c r="U68" s="3"/>
      <c r="V68" s="3"/>
      <c r="W68" s="4"/>
      <c r="X68" s="4">
        <f t="shared" si="4"/>
        <v>0</v>
      </c>
      <c r="Y68" s="3">
        <f t="shared" si="5"/>
        <v>1</v>
      </c>
    </row>
    <row r="69" spans="1:25" s="8" customFormat="1">
      <c r="A69" s="6" t="s">
        <v>31</v>
      </c>
      <c r="B69" s="6">
        <v>7</v>
      </c>
      <c r="C69" s="6" t="str">
        <f t="shared" si="9"/>
        <v>660-MF1/4DC1004F</v>
      </c>
      <c r="D69" s="6" t="str">
        <f t="shared" si="10"/>
        <v>Resistor, through hole axial lead, .25W 1% Metal Film KOA Speer</v>
      </c>
      <c r="E69" s="6" t="str">
        <f t="shared" si="11"/>
        <v>Mouser</v>
      </c>
      <c r="F69" s="6">
        <v>2</v>
      </c>
      <c r="G69" s="6"/>
      <c r="H69" s="6"/>
      <c r="I69" s="6">
        <v>1</v>
      </c>
      <c r="J69" s="6"/>
      <c r="K69" s="6">
        <v>2</v>
      </c>
      <c r="L69" s="6"/>
      <c r="M69" s="6"/>
      <c r="N69" s="6"/>
      <c r="O69" s="6">
        <v>1</v>
      </c>
      <c r="P69" s="6"/>
      <c r="Q69" s="6"/>
      <c r="R69" s="6">
        <v>1</v>
      </c>
      <c r="S69" s="6">
        <f t="shared" ref="S69:S77" si="12">SUM(F69:R69)</f>
        <v>7</v>
      </c>
      <c r="T69" s="6"/>
      <c r="U69" s="6"/>
      <c r="V69" s="6"/>
      <c r="W69" s="7"/>
      <c r="X69" s="7">
        <f t="shared" ref="X69:X77" si="13">SUM(V69:W69)</f>
        <v>0</v>
      </c>
      <c r="Y69" s="6">
        <f t="shared" ref="Y69:Y77" si="14">SUM(F69:R69,T69:W69)</f>
        <v>7</v>
      </c>
    </row>
    <row r="70" spans="1:25">
      <c r="A70" s="3" t="s">
        <v>33</v>
      </c>
      <c r="B70" s="3">
        <v>1</v>
      </c>
      <c r="C70" s="3" t="str">
        <f t="shared" si="9"/>
        <v>603-MFR-25FTE52-1M2</v>
      </c>
      <c r="D70" s="3" t="str">
        <f t="shared" si="10"/>
        <v>Resistor, through hole axial lead, .25W 1% Metal Film Yageo</v>
      </c>
      <c r="E70" s="3" t="str">
        <f t="shared" si="11"/>
        <v>Mouser</v>
      </c>
      <c r="F70" s="3"/>
      <c r="G70" s="3"/>
      <c r="H70" s="3"/>
      <c r="I70" s="3"/>
      <c r="J70" s="3"/>
      <c r="K70" s="3">
        <v>1</v>
      </c>
      <c r="L70" s="3"/>
      <c r="M70" s="3"/>
      <c r="N70" s="3"/>
      <c r="O70" s="3"/>
      <c r="P70" s="3"/>
      <c r="Q70" s="3"/>
      <c r="R70" s="3"/>
      <c r="S70" s="3">
        <f t="shared" si="12"/>
        <v>1</v>
      </c>
      <c r="T70" s="3"/>
      <c r="U70" s="3"/>
      <c r="V70" s="3"/>
      <c r="W70" s="4"/>
      <c r="X70" s="4">
        <f t="shared" si="13"/>
        <v>0</v>
      </c>
      <c r="Y70" s="3">
        <f t="shared" si="14"/>
        <v>1</v>
      </c>
    </row>
    <row r="71" spans="1:25" s="8" customFormat="1">
      <c r="A71" s="6" t="s">
        <v>34</v>
      </c>
      <c r="B71" s="6">
        <v>4</v>
      </c>
      <c r="C71" s="6" t="str">
        <f t="shared" si="9"/>
        <v>603-MFR-25FTE52-1M5</v>
      </c>
      <c r="D71" s="6" t="str">
        <f t="shared" si="10"/>
        <v>Resistor, through hole axial lead, .25W 1% Metal Film Yageo</v>
      </c>
      <c r="E71" s="6" t="str">
        <f t="shared" si="11"/>
        <v>Mouser</v>
      </c>
      <c r="F71" s="6">
        <v>3</v>
      </c>
      <c r="G71" s="6"/>
      <c r="H71" s="6"/>
      <c r="I71" s="6"/>
      <c r="J71" s="6"/>
      <c r="K71" s="6"/>
      <c r="L71" s="6">
        <v>1</v>
      </c>
      <c r="M71" s="6"/>
      <c r="N71" s="6"/>
      <c r="O71" s="6"/>
      <c r="P71" s="6"/>
      <c r="Q71" s="6"/>
      <c r="R71" s="6"/>
      <c r="S71" s="6">
        <f t="shared" si="12"/>
        <v>4</v>
      </c>
      <c r="T71" s="6"/>
      <c r="U71" s="6"/>
      <c r="V71" s="6"/>
      <c r="W71" s="7"/>
      <c r="X71" s="7">
        <f t="shared" si="13"/>
        <v>0</v>
      </c>
      <c r="Y71" s="6">
        <f t="shared" si="14"/>
        <v>4</v>
      </c>
    </row>
    <row r="72" spans="1:25">
      <c r="A72" s="3" t="s">
        <v>52</v>
      </c>
      <c r="B72" s="3">
        <v>2</v>
      </c>
      <c r="C72" s="3" t="str">
        <f t="shared" si="9"/>
        <v>603-MFR-25FTE52-2M2</v>
      </c>
      <c r="D72" s="3" t="str">
        <f t="shared" si="10"/>
        <v>Resistor, through hole axial lead, .25W 1% Metal Film Yageo</v>
      </c>
      <c r="E72" s="3" t="str">
        <f t="shared" si="11"/>
        <v>Mouser</v>
      </c>
      <c r="F72" s="3"/>
      <c r="G72" s="3"/>
      <c r="H72" s="3"/>
      <c r="I72" s="3"/>
      <c r="J72" s="3"/>
      <c r="K72" s="3"/>
      <c r="L72" s="3"/>
      <c r="M72" s="3">
        <v>2</v>
      </c>
      <c r="N72" s="3"/>
      <c r="O72" s="3"/>
      <c r="P72" s="3"/>
      <c r="Q72" s="3"/>
      <c r="R72" s="3"/>
      <c r="S72" s="3">
        <f t="shared" si="12"/>
        <v>2</v>
      </c>
      <c r="T72" s="3"/>
      <c r="U72" s="3"/>
      <c r="V72" s="3"/>
      <c r="W72" s="4"/>
      <c r="X72" s="4">
        <f t="shared" si="13"/>
        <v>0</v>
      </c>
      <c r="Y72" s="3">
        <f t="shared" si="14"/>
        <v>2</v>
      </c>
    </row>
    <row r="73" spans="1:25" s="8" customFormat="1">
      <c r="A73" s="6" t="s">
        <v>64</v>
      </c>
      <c r="B73" s="6">
        <v>9</v>
      </c>
      <c r="C73" s="6" t="str">
        <f t="shared" si="9"/>
        <v xml:space="preserve">603-MFR-25FTE52-3M3 </v>
      </c>
      <c r="D73" s="6" t="str">
        <f t="shared" si="10"/>
        <v>Resistor, through hole axial lead, .25W 1% Metal Film Yageo</v>
      </c>
      <c r="E73" s="6" t="str">
        <f t="shared" si="11"/>
        <v>Mouser</v>
      </c>
      <c r="F73" s="6"/>
      <c r="G73" s="6">
        <v>1</v>
      </c>
      <c r="H73" s="6">
        <v>1</v>
      </c>
      <c r="I73" s="6">
        <v>1</v>
      </c>
      <c r="J73" s="6">
        <v>1</v>
      </c>
      <c r="K73" s="6"/>
      <c r="L73" s="6"/>
      <c r="M73" s="6"/>
      <c r="N73" s="6"/>
      <c r="O73" s="6"/>
      <c r="P73" s="6">
        <v>2</v>
      </c>
      <c r="Q73" s="6"/>
      <c r="R73" s="6"/>
      <c r="S73" s="6">
        <f t="shared" si="12"/>
        <v>6</v>
      </c>
      <c r="T73" s="6"/>
      <c r="U73" s="6">
        <v>3</v>
      </c>
      <c r="V73" s="6"/>
      <c r="W73" s="7"/>
      <c r="X73" s="7">
        <f t="shared" si="13"/>
        <v>0</v>
      </c>
      <c r="Y73" s="6">
        <f t="shared" si="14"/>
        <v>9</v>
      </c>
    </row>
    <row r="74" spans="1:25">
      <c r="A74" s="3" t="s">
        <v>75</v>
      </c>
      <c r="B74" s="3">
        <v>2</v>
      </c>
      <c r="C74" s="3" t="str">
        <f t="shared" si="9"/>
        <v xml:space="preserve">603-MFR-25FTE52-4M7 </v>
      </c>
      <c r="D74" s="3" t="str">
        <f t="shared" si="10"/>
        <v>Resistor, through hole axial lead, .25W 1% Metal Film Yageo</v>
      </c>
      <c r="E74" s="3" t="str">
        <f t="shared" si="11"/>
        <v>Mouser</v>
      </c>
      <c r="F74" s="3"/>
      <c r="G74" s="3"/>
      <c r="H74" s="3"/>
      <c r="I74" s="3"/>
      <c r="J74" s="3"/>
      <c r="K74" s="3"/>
      <c r="L74" s="3"/>
      <c r="M74" s="3"/>
      <c r="N74" s="3">
        <v>2</v>
      </c>
      <c r="O74" s="3"/>
      <c r="P74" s="3"/>
      <c r="Q74" s="3"/>
      <c r="R74" s="3"/>
      <c r="S74" s="3">
        <f t="shared" si="12"/>
        <v>2</v>
      </c>
      <c r="T74" s="3"/>
      <c r="U74" s="3"/>
      <c r="V74" s="3"/>
      <c r="W74" s="4"/>
      <c r="X74" s="4">
        <f t="shared" si="13"/>
        <v>0</v>
      </c>
      <c r="Y74" s="3">
        <f t="shared" si="14"/>
        <v>2</v>
      </c>
    </row>
    <row r="75" spans="1:25" s="8" customFormat="1">
      <c r="A75" s="6" t="s">
        <v>82</v>
      </c>
      <c r="B75" s="6">
        <v>2</v>
      </c>
      <c r="C75" s="6" t="str">
        <f t="shared" si="9"/>
        <v>603-MFR-25FTE52-5M6</v>
      </c>
      <c r="D75" s="6" t="str">
        <f t="shared" si="10"/>
        <v>Resistor, through hole axial lead, .25W 1% Metal Film Yageo</v>
      </c>
      <c r="E75" s="6" t="str">
        <f t="shared" si="11"/>
        <v>Mouser</v>
      </c>
      <c r="F75" s="6"/>
      <c r="G75" s="6"/>
      <c r="H75" s="6"/>
      <c r="I75" s="6"/>
      <c r="J75" s="6"/>
      <c r="K75" s="6"/>
      <c r="L75" s="6"/>
      <c r="M75" s="6"/>
      <c r="N75" s="6">
        <v>2</v>
      </c>
      <c r="O75" s="6"/>
      <c r="P75" s="6"/>
      <c r="Q75" s="6"/>
      <c r="R75" s="6"/>
      <c r="S75" s="6">
        <f t="shared" si="12"/>
        <v>2</v>
      </c>
      <c r="T75" s="6"/>
      <c r="U75" s="6"/>
      <c r="V75" s="6"/>
      <c r="W75" s="7"/>
      <c r="X75" s="7">
        <f t="shared" si="13"/>
        <v>0</v>
      </c>
      <c r="Y75" s="6">
        <f t="shared" si="14"/>
        <v>2</v>
      </c>
    </row>
    <row r="76" spans="1:25">
      <c r="A76" s="3" t="s">
        <v>6</v>
      </c>
      <c r="B76" s="3">
        <v>1</v>
      </c>
      <c r="C76" s="3" t="str">
        <f t="shared" si="9"/>
        <v>603-MFR-25FRF52-10M</v>
      </c>
      <c r="D76" s="3" t="str">
        <f t="shared" si="10"/>
        <v>Resistor, through hole axial lead, .25W 1% Metal Film Yageo</v>
      </c>
      <c r="E76" s="3" t="str">
        <f t="shared" si="11"/>
        <v>Mouser</v>
      </c>
      <c r="F76" s="3">
        <v>1</v>
      </c>
      <c r="G76" s="3"/>
      <c r="H76" s="3"/>
      <c r="I76" s="3"/>
      <c r="J76" s="3"/>
      <c r="K76" s="3"/>
      <c r="L76" s="3"/>
      <c r="M76" s="3"/>
      <c r="N76" s="3"/>
      <c r="O76" s="3"/>
      <c r="P76" s="3"/>
      <c r="Q76" s="3"/>
      <c r="R76" s="3"/>
      <c r="S76" s="3">
        <f t="shared" si="12"/>
        <v>1</v>
      </c>
      <c r="T76" s="3"/>
      <c r="U76" s="3"/>
      <c r="V76" s="3"/>
      <c r="W76" s="4"/>
      <c r="X76" s="4">
        <f t="shared" si="13"/>
        <v>0</v>
      </c>
      <c r="Y76" s="3">
        <f t="shared" si="14"/>
        <v>1</v>
      </c>
    </row>
    <row r="77" spans="1:25" s="8" customFormat="1">
      <c r="A77" s="6" t="s">
        <v>39</v>
      </c>
      <c r="B77" s="6">
        <v>8</v>
      </c>
      <c r="C77" s="6" t="str">
        <f t="shared" si="9"/>
        <v>603-MFR-25FTE52-22M</v>
      </c>
      <c r="D77" s="6" t="str">
        <f t="shared" si="10"/>
        <v>Resistor, through hole axial lead, .25W 1% Metal Film Yageo</v>
      </c>
      <c r="E77" s="6" t="str">
        <f t="shared" si="11"/>
        <v>Mouser</v>
      </c>
      <c r="F77" s="6"/>
      <c r="G77" s="6"/>
      <c r="H77" s="6"/>
      <c r="I77" s="6"/>
      <c r="J77" s="6"/>
      <c r="K77" s="6"/>
      <c r="L77" s="6"/>
      <c r="M77" s="6"/>
      <c r="N77" s="6"/>
      <c r="O77" s="6"/>
      <c r="P77" s="6">
        <v>4</v>
      </c>
      <c r="Q77" s="6"/>
      <c r="R77" s="6"/>
      <c r="S77" s="6">
        <f t="shared" si="12"/>
        <v>4</v>
      </c>
      <c r="T77" s="6"/>
      <c r="U77" s="6"/>
      <c r="V77" s="6">
        <v>4</v>
      </c>
      <c r="W77" s="7"/>
      <c r="X77" s="7">
        <f t="shared" si="13"/>
        <v>4</v>
      </c>
      <c r="Y77" s="6">
        <f t="shared" si="14"/>
        <v>8</v>
      </c>
    </row>
    <row r="78" spans="1:25" s="10" customFormat="1">
      <c r="A78" s="5"/>
      <c r="B78" s="5"/>
      <c r="C78" s="5"/>
      <c r="D78" s="5"/>
      <c r="E78" s="5"/>
      <c r="F78" s="5"/>
      <c r="G78" s="5"/>
      <c r="H78" s="5"/>
      <c r="I78" s="5"/>
      <c r="J78" s="5"/>
      <c r="K78" s="5"/>
      <c r="L78" s="5"/>
      <c r="M78" s="5"/>
      <c r="N78" s="5"/>
      <c r="O78" s="5"/>
      <c r="P78" s="5"/>
      <c r="Q78" s="5"/>
      <c r="R78" s="5"/>
      <c r="S78" s="5"/>
      <c r="T78" s="5"/>
      <c r="U78" s="5"/>
      <c r="V78" s="5"/>
      <c r="W78" s="9"/>
      <c r="X78" s="9"/>
      <c r="Y78" s="5"/>
    </row>
    <row r="79" spans="1:25" s="43" customFormat="1" ht="36">
      <c r="A79" s="24" t="s">
        <v>304</v>
      </c>
      <c r="B79" s="24"/>
      <c r="C79" s="24"/>
      <c r="D79" s="24"/>
      <c r="E79" s="24"/>
      <c r="F79" s="24" t="s">
        <v>107</v>
      </c>
      <c r="G79" s="24"/>
      <c r="H79" s="24"/>
      <c r="I79" s="24"/>
      <c r="J79" s="24"/>
      <c r="K79" s="24" t="s">
        <v>302</v>
      </c>
      <c r="L79" s="24"/>
      <c r="M79" s="24"/>
      <c r="N79" s="24"/>
      <c r="O79" s="24"/>
      <c r="P79" s="24" t="s">
        <v>303</v>
      </c>
      <c r="Q79" s="24"/>
      <c r="R79" s="24" t="s">
        <v>305</v>
      </c>
      <c r="S79" s="24"/>
      <c r="T79" s="24"/>
      <c r="U79" s="24"/>
      <c r="V79" s="24" t="s">
        <v>371</v>
      </c>
      <c r="W79" s="42"/>
      <c r="X79" s="42"/>
      <c r="Y79" s="24"/>
    </row>
    <row r="80" spans="1:25" s="10" customFormat="1">
      <c r="A80" s="28"/>
      <c r="B80" s="5"/>
      <c r="C80" s="5" t="s">
        <v>369</v>
      </c>
      <c r="D80" s="5"/>
      <c r="E80" s="5"/>
      <c r="F80" s="5"/>
      <c r="G80" s="5"/>
      <c r="H80" s="5"/>
      <c r="I80" s="5"/>
      <c r="J80" s="5"/>
      <c r="K80" s="28"/>
      <c r="L80" s="5"/>
      <c r="M80" s="5"/>
      <c r="N80" s="5"/>
      <c r="O80" s="5"/>
      <c r="P80" s="28"/>
      <c r="Q80" s="5"/>
      <c r="R80" s="28"/>
      <c r="S80" s="5"/>
      <c r="T80" s="5"/>
      <c r="U80" s="5"/>
      <c r="V80" s="5"/>
      <c r="W80" s="9"/>
      <c r="X80" s="9"/>
      <c r="Y80" s="5"/>
    </row>
    <row r="81" spans="1:26" s="10" customFormat="1">
      <c r="A81" s="5" t="s">
        <v>171</v>
      </c>
      <c r="B81" s="5">
        <v>4</v>
      </c>
      <c r="C81" s="5" t="str">
        <f>VLOOKUP($A81,misc,4,FALSE)</f>
        <v>575-143314</v>
      </c>
      <c r="D81" s="5" t="str">
        <f>VLOOKUP($A81,misc,2,FALSE)&amp;" "&amp;VLOOKUP($A81,misc,5,FALSE)</f>
        <v>IC &amp; Component Sockets 14P DIP Machined TIN PIN GLD CNT Mill-Max</v>
      </c>
      <c r="E81" s="5" t="str">
        <f>VLOOKUP($A81,misc,3,FALSE)</f>
        <v>Mouser</v>
      </c>
      <c r="F81" s="5"/>
      <c r="G81" s="5"/>
      <c r="H81" s="5"/>
      <c r="I81" s="5"/>
      <c r="J81" s="5"/>
      <c r="K81" s="5"/>
      <c r="L81" s="5"/>
      <c r="M81" s="5"/>
      <c r="N81" s="5"/>
      <c r="O81" s="5"/>
      <c r="P81" s="5"/>
      <c r="Q81" s="5"/>
      <c r="R81" s="5"/>
      <c r="S81" s="5">
        <f>SUM(F81:R81)</f>
        <v>0</v>
      </c>
      <c r="T81" s="5"/>
      <c r="U81" s="5">
        <v>3</v>
      </c>
      <c r="V81" s="5">
        <v>1</v>
      </c>
      <c r="W81" s="9"/>
      <c r="X81" s="9">
        <f t="shared" ref="X81:X82" si="15">SUM(V81:W81)</f>
        <v>1</v>
      </c>
      <c r="Y81" s="5">
        <f>SUM(F81:R81,T81:W81)</f>
        <v>4</v>
      </c>
    </row>
    <row r="82" spans="1:26" s="23" customFormat="1">
      <c r="A82" s="21" t="s">
        <v>172</v>
      </c>
      <c r="B82" s="21">
        <v>35</v>
      </c>
      <c r="C82" s="21" t="str">
        <f>VLOOKUP($A82,misc,4,FALSE)</f>
        <v>575-11043308</v>
      </c>
      <c r="D82" s="21" t="str">
        <f>VLOOKUP($A82,misc,2,FALSE)&amp;" "&amp;VLOOKUP($A82,misc,5,FALSE)</f>
        <v>IC &amp; Component Sockets 8P DIP Machined TIN PIN GOLD CONT Mill-Max</v>
      </c>
      <c r="E82" s="21" t="str">
        <f>VLOOKUP($A82,misc,3,FALSE)</f>
        <v>Mouser</v>
      </c>
      <c r="F82" s="21">
        <v>6</v>
      </c>
      <c r="G82" s="21">
        <v>1</v>
      </c>
      <c r="H82" s="21">
        <v>4</v>
      </c>
      <c r="I82" s="21">
        <v>1</v>
      </c>
      <c r="J82" s="21"/>
      <c r="K82" s="21">
        <v>2</v>
      </c>
      <c r="L82" s="21">
        <v>1</v>
      </c>
      <c r="M82" s="21">
        <v>7</v>
      </c>
      <c r="N82" s="21">
        <v>3</v>
      </c>
      <c r="O82" s="21">
        <v>3</v>
      </c>
      <c r="P82" s="21">
        <v>3</v>
      </c>
      <c r="Q82" s="21">
        <v>2</v>
      </c>
      <c r="R82" s="21"/>
      <c r="S82" s="21">
        <f>SUM(F82:R82)</f>
        <v>33</v>
      </c>
      <c r="T82" s="21"/>
      <c r="U82" s="21"/>
      <c r="V82" s="21">
        <v>1</v>
      </c>
      <c r="W82" s="22">
        <v>1</v>
      </c>
      <c r="X82" s="22">
        <f t="shared" si="15"/>
        <v>2</v>
      </c>
      <c r="Y82" s="21">
        <f>SUM(F82:R82,T82:W82)</f>
        <v>35</v>
      </c>
    </row>
    <row r="83" spans="1:26">
      <c r="A83" s="11"/>
      <c r="B83" s="3" t="s">
        <v>357</v>
      </c>
      <c r="C83" s="3"/>
      <c r="D83" s="3"/>
      <c r="E83" s="3"/>
      <c r="F83" s="3"/>
      <c r="G83" s="3"/>
      <c r="H83" s="3"/>
      <c r="I83" s="3"/>
      <c r="J83" s="3"/>
      <c r="K83" s="3"/>
      <c r="L83" s="3"/>
      <c r="M83" s="3"/>
      <c r="N83" s="3"/>
      <c r="O83" s="3"/>
      <c r="P83" s="3"/>
      <c r="Q83" s="3"/>
      <c r="R83" s="3"/>
      <c r="S83" s="3"/>
      <c r="T83" s="3"/>
      <c r="U83" s="3"/>
      <c r="V83" s="3"/>
      <c r="W83" s="4"/>
      <c r="X83" s="4"/>
      <c r="Y83" s="3"/>
    </row>
    <row r="84" spans="1:26" s="14" customFormat="1">
      <c r="A84" s="12" t="s">
        <v>149</v>
      </c>
      <c r="B84" s="12">
        <v>2</v>
      </c>
      <c r="C84" s="12" t="str">
        <f t="shared" ref="C84:C105" si="16">VLOOKUP($A84,npcaps,4,FALSE)</f>
        <v>810-FK28C0G1H3R3C</v>
      </c>
      <c r="D84" s="12" t="str">
        <f t="shared" ref="D84:D105" si="17">VLOOKUP($A84,npcaps,2,FALSE)&amp;" "&amp;VLOOKUP($A84,npcaps,5,FALSE)</f>
        <v>Multilayer Ceramic Capacitor (MLCC), through hole, radial leads, LS: 5mm, 50VDC, C0G (NP0) TDK</v>
      </c>
      <c r="E84" s="12" t="str">
        <f t="shared" ref="E84:E105" si="18">VLOOKUP($A84,npcaps,3,FALSE)</f>
        <v>Mouser</v>
      </c>
      <c r="F84" s="12"/>
      <c r="G84" s="12">
        <v>1</v>
      </c>
      <c r="H84" s="12"/>
      <c r="I84" s="12">
        <v>1</v>
      </c>
      <c r="J84" s="12"/>
      <c r="K84" s="12"/>
      <c r="L84" s="12"/>
      <c r="M84" s="12"/>
      <c r="N84" s="12"/>
      <c r="O84" s="12"/>
      <c r="P84" s="12"/>
      <c r="Q84" s="12"/>
      <c r="R84" s="12"/>
      <c r="S84" s="12">
        <f t="shared" ref="S84:S105" si="19">SUM(F84:R84)</f>
        <v>2</v>
      </c>
      <c r="T84" s="12"/>
      <c r="U84" s="12"/>
      <c r="V84" s="12"/>
      <c r="W84" s="13"/>
      <c r="X84" s="13">
        <f t="shared" ref="X84:X105" si="20">SUM(V84:W84)</f>
        <v>0</v>
      </c>
      <c r="Y84" s="12">
        <f t="shared" ref="Y84:Y105" si="21">SUM(F84:R84,T84:W84)</f>
        <v>2</v>
      </c>
    </row>
    <row r="85" spans="1:26" s="10" customFormat="1">
      <c r="A85" s="5" t="s">
        <v>133</v>
      </c>
      <c r="B85" s="5">
        <v>4</v>
      </c>
      <c r="C85" s="5" t="str">
        <f t="shared" si="16"/>
        <v>810-FK28C0G1H050C</v>
      </c>
      <c r="D85" s="5" t="str">
        <f t="shared" si="17"/>
        <v>Multilayer Ceramic Capacitor (MLCC), through hole, radial leads, LS: 5mm, 50VDC, C0G (NP0) TDK</v>
      </c>
      <c r="E85" s="5" t="str">
        <f t="shared" si="18"/>
        <v>Mouser</v>
      </c>
      <c r="F85" s="5">
        <v>1</v>
      </c>
      <c r="G85" s="5"/>
      <c r="H85" s="5"/>
      <c r="I85" s="5"/>
      <c r="J85" s="5"/>
      <c r="K85" s="5"/>
      <c r="L85" s="5"/>
      <c r="M85" s="5"/>
      <c r="N85" s="5"/>
      <c r="O85" s="5"/>
      <c r="P85" s="5"/>
      <c r="Q85" s="5"/>
      <c r="R85" s="5"/>
      <c r="S85" s="5">
        <f t="shared" si="19"/>
        <v>1</v>
      </c>
      <c r="T85" s="5"/>
      <c r="U85" s="5">
        <v>3</v>
      </c>
      <c r="V85" s="5"/>
      <c r="W85" s="9"/>
      <c r="X85" s="9">
        <f t="shared" si="20"/>
        <v>0</v>
      </c>
      <c r="Y85" s="5">
        <f t="shared" si="21"/>
        <v>4</v>
      </c>
    </row>
    <row r="86" spans="1:26" s="14" customFormat="1">
      <c r="A86" s="12" t="s">
        <v>139</v>
      </c>
      <c r="B86" s="12">
        <v>14</v>
      </c>
      <c r="C86" s="12" t="str">
        <f t="shared" si="16"/>
        <v>810-FK28C0G1H100D</v>
      </c>
      <c r="D86" s="12" t="str">
        <f t="shared" si="17"/>
        <v>Multilayer Ceramic Capacitor (MLCC), through hole, radial leads, LS: 5mm, 50VDC, C0G (NP0) TDK</v>
      </c>
      <c r="E86" s="12" t="str">
        <f t="shared" si="18"/>
        <v>Mouser</v>
      </c>
      <c r="F86" s="12">
        <v>1</v>
      </c>
      <c r="G86" s="12"/>
      <c r="H86" s="12"/>
      <c r="I86" s="12"/>
      <c r="J86" s="12"/>
      <c r="K86" s="12"/>
      <c r="L86" s="12">
        <v>1</v>
      </c>
      <c r="M86" s="12">
        <v>5</v>
      </c>
      <c r="N86" s="12">
        <v>2</v>
      </c>
      <c r="O86" s="12"/>
      <c r="P86" s="12"/>
      <c r="Q86" s="12">
        <v>4</v>
      </c>
      <c r="R86" s="12"/>
      <c r="S86" s="12">
        <f t="shared" si="19"/>
        <v>13</v>
      </c>
      <c r="T86" s="12"/>
      <c r="U86" s="12"/>
      <c r="V86" s="12"/>
      <c r="W86" s="13">
        <v>1</v>
      </c>
      <c r="X86" s="13">
        <f t="shared" si="20"/>
        <v>1</v>
      </c>
      <c r="Y86" s="12">
        <f t="shared" si="21"/>
        <v>14</v>
      </c>
    </row>
    <row r="87" spans="1:26">
      <c r="A87" s="3" t="s">
        <v>140</v>
      </c>
      <c r="B87" s="3">
        <v>1</v>
      </c>
      <c r="C87" s="3" t="str">
        <f t="shared" si="16"/>
        <v>810-FK28C0G1H120J</v>
      </c>
      <c r="D87" s="3" t="str">
        <f t="shared" si="17"/>
        <v>Multilayer Ceramic Capacitor (MLCC), through hole, radial leads, LS: 5mm, 50VDC, C0G (NP0) TDK</v>
      </c>
      <c r="E87" s="3" t="str">
        <f t="shared" si="18"/>
        <v>Mouser</v>
      </c>
      <c r="F87" s="3">
        <v>1</v>
      </c>
      <c r="G87" s="3"/>
      <c r="H87" s="3"/>
      <c r="I87" s="3"/>
      <c r="J87" s="3"/>
      <c r="K87" s="3"/>
      <c r="L87" s="3"/>
      <c r="M87" s="3"/>
      <c r="N87" s="3"/>
      <c r="O87" s="3"/>
      <c r="P87" s="3"/>
      <c r="Q87" s="3"/>
      <c r="R87" s="3"/>
      <c r="S87" s="3">
        <f t="shared" si="19"/>
        <v>1</v>
      </c>
      <c r="T87" s="3"/>
      <c r="U87" s="3"/>
      <c r="V87" s="3"/>
      <c r="W87" s="4"/>
      <c r="X87" s="4">
        <f t="shared" si="20"/>
        <v>0</v>
      </c>
      <c r="Y87" s="3">
        <f t="shared" si="21"/>
        <v>1</v>
      </c>
    </row>
    <row r="88" spans="1:26" s="14" customFormat="1">
      <c r="A88" s="12" t="s">
        <v>143</v>
      </c>
      <c r="B88" s="12">
        <v>15</v>
      </c>
      <c r="C88" s="12" t="str">
        <f t="shared" si="16"/>
        <v>810-FK28C0G1H220J</v>
      </c>
      <c r="D88" s="12" t="str">
        <f t="shared" si="17"/>
        <v>Multilayer Ceramic Capacitor (MLCC), through hole, radial leads, LS: 5mm, 50VDC, C0G (NP0) TDK</v>
      </c>
      <c r="E88" s="12" t="str">
        <f t="shared" si="18"/>
        <v>Mouser</v>
      </c>
      <c r="F88" s="12">
        <v>3</v>
      </c>
      <c r="G88" s="12"/>
      <c r="H88" s="12"/>
      <c r="I88" s="12"/>
      <c r="J88" s="12"/>
      <c r="K88" s="12"/>
      <c r="L88" s="12"/>
      <c r="M88" s="12">
        <v>2</v>
      </c>
      <c r="N88" s="12">
        <v>1</v>
      </c>
      <c r="O88" s="12">
        <v>4</v>
      </c>
      <c r="P88" s="12">
        <v>3</v>
      </c>
      <c r="Q88" s="12">
        <v>2</v>
      </c>
      <c r="R88" s="12"/>
      <c r="S88" s="12">
        <f t="shared" si="19"/>
        <v>15</v>
      </c>
      <c r="T88" s="12"/>
      <c r="U88" s="12"/>
      <c r="V88" s="12"/>
      <c r="W88" s="13"/>
      <c r="X88" s="13">
        <f t="shared" si="20"/>
        <v>0</v>
      </c>
      <c r="Y88" s="12">
        <f t="shared" si="21"/>
        <v>15</v>
      </c>
      <c r="Z88" s="14" t="s">
        <v>289</v>
      </c>
    </row>
    <row r="89" spans="1:26">
      <c r="A89" s="3" t="s">
        <v>246</v>
      </c>
      <c r="B89" s="3">
        <v>17</v>
      </c>
      <c r="C89" s="3" t="str">
        <f t="shared" si="16"/>
        <v>810-FK28C0G1H330J</v>
      </c>
      <c r="D89" s="3" t="str">
        <f t="shared" si="17"/>
        <v>Multilayer Ceramic Capacitor (MLCC), through hole, radial leads, LS: 5mm, 50VDC, C0G (NP0) TDK</v>
      </c>
      <c r="E89" s="3" t="str">
        <f t="shared" si="18"/>
        <v>Mouser</v>
      </c>
      <c r="F89" s="3">
        <v>2</v>
      </c>
      <c r="G89" s="3"/>
      <c r="H89" s="3">
        <v>3</v>
      </c>
      <c r="I89" s="3"/>
      <c r="J89" s="3"/>
      <c r="K89" s="3">
        <v>1</v>
      </c>
      <c r="L89" s="3">
        <v>1</v>
      </c>
      <c r="M89" s="3">
        <v>4</v>
      </c>
      <c r="N89" s="3">
        <v>1</v>
      </c>
      <c r="O89" s="3">
        <v>3</v>
      </c>
      <c r="P89" s="3">
        <v>2</v>
      </c>
      <c r="Q89" s="3"/>
      <c r="R89" s="3"/>
      <c r="S89" s="3">
        <f t="shared" si="19"/>
        <v>17</v>
      </c>
      <c r="T89" s="3"/>
      <c r="U89" s="3"/>
      <c r="V89" s="3"/>
      <c r="W89" s="4"/>
      <c r="X89" s="4">
        <f t="shared" si="20"/>
        <v>0</v>
      </c>
      <c r="Y89" s="3">
        <f t="shared" si="21"/>
        <v>17</v>
      </c>
      <c r="Z89" s="2" t="s">
        <v>290</v>
      </c>
    </row>
    <row r="90" spans="1:26" s="14" customFormat="1">
      <c r="A90" s="12" t="s">
        <v>248</v>
      </c>
      <c r="B90" s="12">
        <v>16</v>
      </c>
      <c r="C90" s="12" t="str">
        <f t="shared" si="16"/>
        <v>810-FK28C0G1H470J</v>
      </c>
      <c r="D90" s="12" t="str">
        <f t="shared" si="17"/>
        <v>Multilayer Ceramic Capacitor (MLCC), through hole, radial leads, LS: 5mm, 50VDC, C0G (NP0) TDK</v>
      </c>
      <c r="E90" s="12" t="str">
        <f t="shared" si="18"/>
        <v>Mouser</v>
      </c>
      <c r="F90" s="12">
        <v>5</v>
      </c>
      <c r="G90" s="12"/>
      <c r="H90" s="12"/>
      <c r="I90" s="12"/>
      <c r="J90" s="12">
        <v>1</v>
      </c>
      <c r="K90" s="12">
        <v>1</v>
      </c>
      <c r="L90" s="12"/>
      <c r="M90" s="12">
        <v>5</v>
      </c>
      <c r="N90" s="12">
        <v>1</v>
      </c>
      <c r="O90" s="12"/>
      <c r="P90" s="12"/>
      <c r="Q90" s="12"/>
      <c r="R90" s="12"/>
      <c r="S90" s="12">
        <f t="shared" si="19"/>
        <v>13</v>
      </c>
      <c r="T90" s="12"/>
      <c r="U90" s="12"/>
      <c r="V90" s="12"/>
      <c r="W90" s="13">
        <v>3</v>
      </c>
      <c r="X90" s="13">
        <f t="shared" si="20"/>
        <v>3</v>
      </c>
      <c r="Y90" s="12">
        <f t="shared" si="21"/>
        <v>16</v>
      </c>
      <c r="Z90" s="14" t="s">
        <v>272</v>
      </c>
    </row>
    <row r="91" spans="1:26" s="10" customFormat="1">
      <c r="A91" s="5" t="s">
        <v>138</v>
      </c>
      <c r="B91" s="5">
        <v>9</v>
      </c>
      <c r="C91" s="5" t="str">
        <f t="shared" si="16"/>
        <v>810-FK28C0G1H101J</v>
      </c>
      <c r="D91" s="5" t="str">
        <f t="shared" si="17"/>
        <v>Multilayer Ceramic Capacitor (MLCC), through hole, radial leads, LS: 5mm, 50VDC, C0G (NP0) TDK</v>
      </c>
      <c r="E91" s="5" t="str">
        <f t="shared" si="18"/>
        <v>Mouser</v>
      </c>
      <c r="F91" s="5">
        <v>1</v>
      </c>
      <c r="G91" s="5"/>
      <c r="H91" s="5">
        <v>2</v>
      </c>
      <c r="I91" s="5"/>
      <c r="J91" s="5"/>
      <c r="K91" s="5"/>
      <c r="L91" s="5">
        <v>2</v>
      </c>
      <c r="M91" s="5">
        <v>2</v>
      </c>
      <c r="N91" s="5"/>
      <c r="O91" s="5"/>
      <c r="P91" s="5">
        <v>2</v>
      </c>
      <c r="Q91" s="5"/>
      <c r="R91" s="5"/>
      <c r="S91" s="5">
        <f t="shared" si="19"/>
        <v>9</v>
      </c>
      <c r="T91" s="5"/>
      <c r="U91" s="5"/>
      <c r="V91" s="5"/>
      <c r="W91" s="9"/>
      <c r="X91" s="9">
        <f t="shared" si="20"/>
        <v>0</v>
      </c>
      <c r="Y91" s="5">
        <f t="shared" si="21"/>
        <v>9</v>
      </c>
    </row>
    <row r="92" spans="1:26" s="14" customFormat="1">
      <c r="A92" s="12" t="s">
        <v>145</v>
      </c>
      <c r="B92" s="12">
        <v>2</v>
      </c>
      <c r="C92" s="12" t="str">
        <f t="shared" si="16"/>
        <v>810-FK28C0G1H221J</v>
      </c>
      <c r="D92" s="12" t="str">
        <f t="shared" si="17"/>
        <v>Multilayer Ceramic Capacitor (MLCC), through hole, radial leads, LS: 5mm, 50VDC, C0G (NP0) TDK</v>
      </c>
      <c r="E92" s="12" t="str">
        <f t="shared" si="18"/>
        <v>Mouser</v>
      </c>
      <c r="F92" s="12">
        <v>1</v>
      </c>
      <c r="G92" s="12"/>
      <c r="H92" s="12"/>
      <c r="I92" s="12"/>
      <c r="J92" s="12"/>
      <c r="K92" s="12"/>
      <c r="L92" s="12">
        <v>1</v>
      </c>
      <c r="M92" s="12"/>
      <c r="N92" s="12"/>
      <c r="O92" s="12"/>
      <c r="P92" s="12"/>
      <c r="Q92" s="12"/>
      <c r="R92" s="12"/>
      <c r="S92" s="12">
        <f t="shared" si="19"/>
        <v>2</v>
      </c>
      <c r="T92" s="12"/>
      <c r="U92" s="12"/>
      <c r="V92" s="12"/>
      <c r="W92" s="13"/>
      <c r="X92" s="13">
        <f t="shared" si="20"/>
        <v>0</v>
      </c>
      <c r="Y92" s="12">
        <f t="shared" si="21"/>
        <v>2</v>
      </c>
    </row>
    <row r="93" spans="1:26">
      <c r="A93" s="3" t="s">
        <v>147</v>
      </c>
      <c r="B93" s="3">
        <v>3</v>
      </c>
      <c r="C93" s="3" t="str">
        <f t="shared" si="16"/>
        <v>810-FK28C0G1H331J</v>
      </c>
      <c r="D93" s="3" t="str">
        <f t="shared" si="17"/>
        <v>Multilayer Ceramic Capacitor (MLCC), through hole, radial leads, LS: 5mm, 50VDC, C0G (NP0) TDK</v>
      </c>
      <c r="E93" s="3" t="str">
        <f t="shared" si="18"/>
        <v>Mouser</v>
      </c>
      <c r="F93" s="3">
        <v>1</v>
      </c>
      <c r="G93" s="3"/>
      <c r="H93" s="3"/>
      <c r="I93" s="3"/>
      <c r="J93" s="3"/>
      <c r="K93" s="3">
        <v>1</v>
      </c>
      <c r="L93" s="3"/>
      <c r="M93" s="3">
        <v>1</v>
      </c>
      <c r="N93" s="3"/>
      <c r="O93" s="3"/>
      <c r="P93" s="3"/>
      <c r="Q93" s="3"/>
      <c r="R93" s="3"/>
      <c r="S93" s="3">
        <f t="shared" si="19"/>
        <v>3</v>
      </c>
      <c r="T93" s="3"/>
      <c r="U93" s="3"/>
      <c r="V93" s="3"/>
      <c r="W93" s="4"/>
      <c r="X93" s="4">
        <f t="shared" si="20"/>
        <v>0</v>
      </c>
      <c r="Y93" s="3">
        <f t="shared" si="21"/>
        <v>3</v>
      </c>
    </row>
    <row r="94" spans="1:26" s="14" customFormat="1">
      <c r="A94" s="12" t="s">
        <v>134</v>
      </c>
      <c r="B94" s="12">
        <v>3</v>
      </c>
      <c r="C94" s="12" t="str">
        <f t="shared" si="16"/>
        <v>505-FKP2680/100/2.5</v>
      </c>
      <c r="D94" s="12" t="str">
        <f t="shared" si="17"/>
        <v>Polypropylene film capacitor, through hole, radial leads, LS: 5mm, 2.5%, 100VDC, FKP series Wima</v>
      </c>
      <c r="E94" s="12" t="str">
        <f t="shared" si="18"/>
        <v>Mouser</v>
      </c>
      <c r="F94" s="12"/>
      <c r="G94" s="12"/>
      <c r="H94" s="12"/>
      <c r="I94" s="12"/>
      <c r="J94" s="12"/>
      <c r="K94" s="12"/>
      <c r="L94" s="12"/>
      <c r="M94" s="12"/>
      <c r="N94" s="12"/>
      <c r="O94" s="12"/>
      <c r="P94" s="12"/>
      <c r="Q94" s="12"/>
      <c r="R94" s="12"/>
      <c r="S94" s="12">
        <f t="shared" si="19"/>
        <v>0</v>
      </c>
      <c r="T94" s="12"/>
      <c r="U94" s="12">
        <v>3</v>
      </c>
      <c r="V94" s="12"/>
      <c r="W94" s="13"/>
      <c r="X94" s="13">
        <f t="shared" si="20"/>
        <v>0</v>
      </c>
      <c r="Y94" s="12">
        <f t="shared" si="21"/>
        <v>3</v>
      </c>
    </row>
    <row r="95" spans="1:26">
      <c r="A95" s="3" t="s">
        <v>142</v>
      </c>
      <c r="B95" s="3">
        <v>6</v>
      </c>
      <c r="C95" s="3" t="str">
        <f t="shared" si="16"/>
        <v>594-K102J15C0GF53H5</v>
      </c>
      <c r="D95" s="3" t="str">
        <f t="shared" si="17"/>
        <v>Multilayer Ceramic Capacitor (MLCC), through hole, radial leads, LS: 5mm, 50VDC, C0G (NP0) Vishay</v>
      </c>
      <c r="E95" s="3" t="str">
        <f t="shared" si="18"/>
        <v>Mouser</v>
      </c>
      <c r="F95" s="3">
        <v>1</v>
      </c>
      <c r="G95" s="3"/>
      <c r="H95" s="3"/>
      <c r="I95" s="3"/>
      <c r="J95" s="3"/>
      <c r="K95" s="3">
        <v>1</v>
      </c>
      <c r="L95" s="3"/>
      <c r="M95" s="3"/>
      <c r="N95" s="3"/>
      <c r="O95" s="3"/>
      <c r="P95" s="3">
        <v>4</v>
      </c>
      <c r="Q95" s="3"/>
      <c r="R95" s="3"/>
      <c r="S95" s="3">
        <f t="shared" si="19"/>
        <v>6</v>
      </c>
      <c r="T95" s="3"/>
      <c r="U95" s="3"/>
      <c r="V95" s="3"/>
      <c r="W95" s="4"/>
      <c r="X95" s="4">
        <f t="shared" si="20"/>
        <v>0</v>
      </c>
      <c r="Y95" s="3">
        <f t="shared" si="21"/>
        <v>6</v>
      </c>
    </row>
    <row r="96" spans="1:26" s="14" customFormat="1">
      <c r="A96" s="12" t="s">
        <v>255</v>
      </c>
      <c r="B96" s="12">
        <v>3</v>
      </c>
      <c r="C96" s="12" t="str">
        <f t="shared" si="16"/>
        <v>810-FK28C0G1H222J</v>
      </c>
      <c r="D96" s="12" t="str">
        <f t="shared" si="17"/>
        <v>Multilayer Ceramic Capacitor (MLCC), through hole, radial leads, LS: 5mm, 50VDC, C0G (NP0) TDK</v>
      </c>
      <c r="E96" s="12" t="str">
        <f t="shared" si="18"/>
        <v>Mouser</v>
      </c>
      <c r="F96" s="12">
        <v>1</v>
      </c>
      <c r="G96" s="12"/>
      <c r="H96" s="12"/>
      <c r="I96" s="12"/>
      <c r="J96" s="12"/>
      <c r="K96" s="12"/>
      <c r="L96" s="12"/>
      <c r="M96" s="12"/>
      <c r="N96" s="12">
        <v>1</v>
      </c>
      <c r="O96" s="12"/>
      <c r="P96" s="12">
        <v>1</v>
      </c>
      <c r="Q96" s="12"/>
      <c r="R96" s="12"/>
      <c r="S96" s="12">
        <f t="shared" si="19"/>
        <v>3</v>
      </c>
      <c r="T96" s="12"/>
      <c r="U96" s="12"/>
      <c r="V96" s="12"/>
      <c r="W96" s="13"/>
      <c r="X96" s="13">
        <f t="shared" si="20"/>
        <v>0</v>
      </c>
      <c r="Y96" s="12">
        <f t="shared" si="21"/>
        <v>3</v>
      </c>
      <c r="Z96" s="14" t="s">
        <v>291</v>
      </c>
    </row>
    <row r="97" spans="1:26">
      <c r="A97" s="3" t="s">
        <v>148</v>
      </c>
      <c r="B97" s="3">
        <v>1</v>
      </c>
      <c r="C97" s="3" t="str">
        <f t="shared" si="16"/>
        <v>810-FK28C0G1H332J</v>
      </c>
      <c r="D97" s="3" t="str">
        <f t="shared" si="17"/>
        <v>Multilayer Ceramic Capacitor (MLCC), through hole, radial leads, LS: 5mm, 50VDC, C0G (NP0) TDK</v>
      </c>
      <c r="E97" s="3" t="str">
        <f t="shared" si="18"/>
        <v>Mouser</v>
      </c>
      <c r="F97" s="3"/>
      <c r="G97" s="3"/>
      <c r="H97" s="3"/>
      <c r="I97" s="3"/>
      <c r="J97" s="3"/>
      <c r="K97" s="3"/>
      <c r="L97" s="3"/>
      <c r="M97" s="3"/>
      <c r="N97" s="3">
        <v>1</v>
      </c>
      <c r="O97" s="3"/>
      <c r="P97" s="3"/>
      <c r="Q97" s="3"/>
      <c r="R97" s="3"/>
      <c r="S97" s="3">
        <f t="shared" si="19"/>
        <v>1</v>
      </c>
      <c r="T97" s="3"/>
      <c r="U97" s="3"/>
      <c r="V97" s="3"/>
      <c r="W97" s="4"/>
      <c r="X97" s="4">
        <f t="shared" si="20"/>
        <v>0</v>
      </c>
      <c r="Y97" s="3">
        <f t="shared" si="21"/>
        <v>1</v>
      </c>
    </row>
    <row r="98" spans="1:26" s="14" customFormat="1">
      <c r="A98" s="12" t="s">
        <v>150</v>
      </c>
      <c r="B98" s="12">
        <v>8</v>
      </c>
      <c r="C98" s="12" t="str">
        <f t="shared" si="16"/>
        <v>810-FK28C0G1H472J</v>
      </c>
      <c r="D98" s="12" t="str">
        <f t="shared" si="17"/>
        <v>Multilayer Ceramic Capacitor (MLCC), through hole, radial leads, LS: 5mm, 50VDC, C0G (NP0) TDK</v>
      </c>
      <c r="E98" s="12" t="str">
        <f t="shared" si="18"/>
        <v>Mouser</v>
      </c>
      <c r="F98" s="12"/>
      <c r="G98" s="12"/>
      <c r="H98" s="12"/>
      <c r="I98" s="12"/>
      <c r="J98" s="12"/>
      <c r="K98" s="12"/>
      <c r="L98" s="12"/>
      <c r="M98" s="12"/>
      <c r="N98" s="12"/>
      <c r="O98" s="12"/>
      <c r="P98" s="12"/>
      <c r="Q98" s="12"/>
      <c r="R98" s="12"/>
      <c r="S98" s="12">
        <f t="shared" si="19"/>
        <v>0</v>
      </c>
      <c r="T98" s="12">
        <v>4</v>
      </c>
      <c r="U98" s="12"/>
      <c r="V98" s="12">
        <v>4</v>
      </c>
      <c r="W98" s="13"/>
      <c r="X98" s="13">
        <f t="shared" si="20"/>
        <v>4</v>
      </c>
      <c r="Y98" s="12">
        <f t="shared" si="21"/>
        <v>8</v>
      </c>
    </row>
    <row r="99" spans="1:26" s="10" customFormat="1">
      <c r="A99" s="5" t="s">
        <v>135</v>
      </c>
      <c r="B99" s="5">
        <v>22</v>
      </c>
      <c r="C99" s="5" t="str">
        <f t="shared" si="16"/>
        <v>810-FK28C0G1H103J</v>
      </c>
      <c r="D99" s="5" t="str">
        <f t="shared" si="17"/>
        <v>Multilayer Ceramic Capacitor (MLCC), through hole, radial leads, LS: 5mm, 50VDC, C0G (NP0) TDK</v>
      </c>
      <c r="E99" s="5" t="str">
        <f t="shared" si="18"/>
        <v>Mouser</v>
      </c>
      <c r="F99" s="5">
        <v>1</v>
      </c>
      <c r="G99" s="5"/>
      <c r="H99" s="5"/>
      <c r="I99" s="5"/>
      <c r="J99" s="5"/>
      <c r="K99" s="5">
        <v>1</v>
      </c>
      <c r="L99" s="5"/>
      <c r="M99" s="5">
        <v>2</v>
      </c>
      <c r="N99" s="5">
        <v>1</v>
      </c>
      <c r="O99" s="5"/>
      <c r="P99" s="5">
        <v>6</v>
      </c>
      <c r="Q99" s="5"/>
      <c r="R99" s="5"/>
      <c r="S99" s="5">
        <f t="shared" si="19"/>
        <v>11</v>
      </c>
      <c r="T99" s="5"/>
      <c r="U99" s="5">
        <v>6</v>
      </c>
      <c r="V99" s="5">
        <v>1</v>
      </c>
      <c r="W99" s="9">
        <v>4</v>
      </c>
      <c r="X99" s="9">
        <f t="shared" si="20"/>
        <v>5</v>
      </c>
      <c r="Y99" s="5">
        <f t="shared" si="21"/>
        <v>22</v>
      </c>
    </row>
    <row r="100" spans="1:26" s="14" customFormat="1">
      <c r="A100" s="12" t="s">
        <v>141</v>
      </c>
      <c r="B100" s="12">
        <v>3</v>
      </c>
      <c r="C100" s="12" t="str">
        <f t="shared" si="16"/>
        <v>810-FK24C0G1H153J</v>
      </c>
      <c r="D100" s="12" t="str">
        <f t="shared" si="17"/>
        <v>Multilayer Ceramic Capacitor (MLCC), through hole, radial leads, LS: 5mm, 50VDC, C0G (NP0) TDK</v>
      </c>
      <c r="E100" s="12" t="str">
        <f t="shared" si="18"/>
        <v>Mouser</v>
      </c>
      <c r="F100" s="12"/>
      <c r="G100" s="12">
        <v>1</v>
      </c>
      <c r="H100" s="12">
        <v>1</v>
      </c>
      <c r="I100" s="12">
        <v>1</v>
      </c>
      <c r="J100" s="12"/>
      <c r="K100" s="12"/>
      <c r="L100" s="12"/>
      <c r="M100" s="12"/>
      <c r="N100" s="12"/>
      <c r="O100" s="12"/>
      <c r="P100" s="12"/>
      <c r="Q100" s="12"/>
      <c r="R100" s="12"/>
      <c r="S100" s="12">
        <f t="shared" si="19"/>
        <v>3</v>
      </c>
      <c r="T100" s="12"/>
      <c r="U100" s="12"/>
      <c r="V100" s="12"/>
      <c r="W100" s="13"/>
      <c r="X100" s="13">
        <f t="shared" si="20"/>
        <v>0</v>
      </c>
      <c r="Y100" s="12">
        <f t="shared" si="21"/>
        <v>3</v>
      </c>
    </row>
    <row r="101" spans="1:26" s="10" customFormat="1">
      <c r="A101" s="5" t="s">
        <v>146</v>
      </c>
      <c r="B101" s="5">
        <v>2</v>
      </c>
      <c r="C101" s="5" t="str">
        <f t="shared" si="16"/>
        <v>505-M10.022/250/10</v>
      </c>
      <c r="D101" s="5" t="str">
        <f t="shared" si="17"/>
        <v>Polypropylene film capacitor, through hole, radial leads, LS: 7.5mm, 10%, 250VDC, MKP series Wima</v>
      </c>
      <c r="E101" s="5" t="str">
        <f t="shared" si="18"/>
        <v>Mouser</v>
      </c>
      <c r="F101" s="5"/>
      <c r="G101" s="5"/>
      <c r="H101" s="5"/>
      <c r="I101" s="5"/>
      <c r="J101" s="5"/>
      <c r="K101" s="5"/>
      <c r="L101" s="5"/>
      <c r="M101" s="5"/>
      <c r="N101" s="5">
        <v>1</v>
      </c>
      <c r="O101" s="5"/>
      <c r="P101" s="5">
        <v>1</v>
      </c>
      <c r="Q101" s="5"/>
      <c r="R101" s="5"/>
      <c r="S101" s="5">
        <f t="shared" si="19"/>
        <v>2</v>
      </c>
      <c r="T101" s="5"/>
      <c r="U101" s="5"/>
      <c r="V101" s="5"/>
      <c r="W101" s="9"/>
      <c r="X101" s="9">
        <f t="shared" si="20"/>
        <v>0</v>
      </c>
      <c r="Y101" s="5">
        <f t="shared" si="21"/>
        <v>2</v>
      </c>
    </row>
    <row r="102" spans="1:26" s="14" customFormat="1">
      <c r="A102" s="12" t="s">
        <v>273</v>
      </c>
      <c r="B102" s="12">
        <v>6</v>
      </c>
      <c r="C102" s="12" t="str">
        <f t="shared" si="16"/>
        <v>80-C0805C104M5R</v>
      </c>
      <c r="D102" s="12" t="str">
        <f t="shared" si="17"/>
        <v>Multilayer Ceramic Capacitor (MLCC),SMD 0805, 50VDC, X7R Kemet</v>
      </c>
      <c r="E102" s="12" t="str">
        <f t="shared" si="18"/>
        <v>Mouser</v>
      </c>
      <c r="F102" s="12"/>
      <c r="G102" s="12"/>
      <c r="H102" s="12"/>
      <c r="I102" s="12"/>
      <c r="J102" s="12"/>
      <c r="K102" s="12"/>
      <c r="L102" s="12"/>
      <c r="M102" s="12"/>
      <c r="N102" s="12"/>
      <c r="O102" s="12"/>
      <c r="P102" s="12"/>
      <c r="Q102" s="12"/>
      <c r="R102" s="12"/>
      <c r="S102" s="12">
        <f t="shared" si="19"/>
        <v>0</v>
      </c>
      <c r="T102" s="12"/>
      <c r="U102" s="12">
        <v>6</v>
      </c>
      <c r="V102" s="12"/>
      <c r="W102" s="13"/>
      <c r="X102" s="13">
        <f t="shared" si="20"/>
        <v>0</v>
      </c>
      <c r="Y102" s="12">
        <f t="shared" si="21"/>
        <v>6</v>
      </c>
    </row>
    <row r="103" spans="1:26" s="10" customFormat="1">
      <c r="A103" s="5" t="s">
        <v>136</v>
      </c>
      <c r="B103" s="5">
        <v>6</v>
      </c>
      <c r="C103" s="5" t="str">
        <f t="shared" si="16"/>
        <v>810-FK26C0G1H104J</v>
      </c>
      <c r="D103" s="5" t="str">
        <f t="shared" si="17"/>
        <v>Multilayer Ceramic Capacitor (MLCC), through hole, radial leads, LS: 5mm, 50VDC, C0G (NP0) TDK</v>
      </c>
      <c r="E103" s="5" t="str">
        <f t="shared" si="18"/>
        <v>Mouser</v>
      </c>
      <c r="F103" s="5">
        <v>2</v>
      </c>
      <c r="G103" s="5"/>
      <c r="H103" s="5"/>
      <c r="I103" s="5"/>
      <c r="J103" s="5"/>
      <c r="K103" s="5"/>
      <c r="L103" s="5"/>
      <c r="M103" s="5">
        <v>1</v>
      </c>
      <c r="N103" s="5"/>
      <c r="O103" s="5">
        <v>1</v>
      </c>
      <c r="P103" s="5"/>
      <c r="Q103" s="5"/>
      <c r="R103" s="5"/>
      <c r="S103" s="5">
        <f t="shared" si="19"/>
        <v>4</v>
      </c>
      <c r="T103" s="5"/>
      <c r="U103" s="5"/>
      <c r="V103" s="5"/>
      <c r="W103" s="9">
        <v>2</v>
      </c>
      <c r="X103" s="9">
        <f t="shared" si="20"/>
        <v>2</v>
      </c>
      <c r="Y103" s="5">
        <f t="shared" si="21"/>
        <v>6</v>
      </c>
    </row>
    <row r="104" spans="1:26" s="14" customFormat="1">
      <c r="A104" s="12" t="s">
        <v>299</v>
      </c>
      <c r="B104" s="12">
        <v>2</v>
      </c>
      <c r="C104" s="12" t="str">
        <f t="shared" si="16"/>
        <v>871-B32529C1104J189</v>
      </c>
      <c r="D104" s="12" t="str">
        <f t="shared" si="17"/>
        <v>PET film capacitor, through hole, radial leads, LS: 5mm, 5%, 100VDC, Box Cap Epcos</v>
      </c>
      <c r="E104" s="12" t="str">
        <f t="shared" si="18"/>
        <v>Mouser</v>
      </c>
      <c r="F104" s="12"/>
      <c r="G104" s="12"/>
      <c r="H104" s="12"/>
      <c r="I104" s="12"/>
      <c r="J104" s="12"/>
      <c r="K104" s="12"/>
      <c r="L104" s="12"/>
      <c r="M104" s="12"/>
      <c r="N104" s="12"/>
      <c r="O104" s="12"/>
      <c r="P104" s="12"/>
      <c r="Q104" s="12">
        <v>2</v>
      </c>
      <c r="R104" s="12"/>
      <c r="S104" s="12">
        <f t="shared" si="19"/>
        <v>2</v>
      </c>
      <c r="T104" s="12"/>
      <c r="U104" s="12"/>
      <c r="V104" s="12"/>
      <c r="W104" s="13"/>
      <c r="X104" s="13">
        <f t="shared" si="20"/>
        <v>0</v>
      </c>
      <c r="Y104" s="12">
        <f t="shared" ref="Y104" si="22">SUM(F104:R104,T104:W104)</f>
        <v>2</v>
      </c>
    </row>
    <row r="105" spans="1:26" s="10" customFormat="1">
      <c r="A105" s="5" t="s">
        <v>144</v>
      </c>
      <c r="B105" s="5">
        <v>2</v>
      </c>
      <c r="C105" s="5" t="str">
        <f t="shared" si="16"/>
        <v xml:space="preserve">810-FK22C0G1H224J </v>
      </c>
      <c r="D105" s="5" t="str">
        <f t="shared" si="17"/>
        <v>Multilayer Ceramic Capacitor (MLCC), through hole, radial leads, LS: 5mm, 50VDC, C0G (NP0) TDK</v>
      </c>
      <c r="E105" s="5" t="str">
        <f t="shared" si="18"/>
        <v>Mouser</v>
      </c>
      <c r="F105" s="5"/>
      <c r="G105" s="5"/>
      <c r="H105" s="5"/>
      <c r="I105" s="5"/>
      <c r="J105" s="5"/>
      <c r="K105" s="5"/>
      <c r="L105" s="5"/>
      <c r="M105" s="5"/>
      <c r="N105" s="5"/>
      <c r="O105" s="5"/>
      <c r="P105" s="5"/>
      <c r="Q105" s="5"/>
      <c r="R105" s="5"/>
      <c r="S105" s="5">
        <f t="shared" si="19"/>
        <v>0</v>
      </c>
      <c r="T105" s="5">
        <v>2</v>
      </c>
      <c r="U105" s="5"/>
      <c r="V105" s="5"/>
      <c r="W105" s="9"/>
      <c r="X105" s="9">
        <f t="shared" si="20"/>
        <v>0</v>
      </c>
      <c r="Y105" s="5">
        <f t="shared" si="21"/>
        <v>2</v>
      </c>
    </row>
    <row r="106" spans="1:26">
      <c r="B106" s="3" t="s">
        <v>356</v>
      </c>
      <c r="Y106" s="3"/>
    </row>
    <row r="107" spans="1:26">
      <c r="A107" s="3" t="s">
        <v>136</v>
      </c>
      <c r="B107" s="5">
        <v>1</v>
      </c>
      <c r="C107" s="5" t="str">
        <f t="shared" ref="C107:C113" si="23">VLOOKUP($A107,pcaps,4,FALSE)</f>
        <v>647-UVY2D0R1MED</v>
      </c>
      <c r="D107" s="5" t="str">
        <f t="shared" ref="D107:D113" si="24">VLOOKUP($A107,pcaps,2,FALSE)&amp;" "&amp;VLOOKUP($A107,pcaps,5,FALSE)</f>
        <v>Polarized Electrolytic Capacitor, through hole, radial leads, LS: 2.5mm, 20% 200VDC, length 11mm, +105c Nichicon</v>
      </c>
      <c r="E107" s="5" t="str">
        <f t="shared" ref="E107:E113" si="25">VLOOKUP($A107,pcaps,3,FALSE)</f>
        <v>Mouser</v>
      </c>
      <c r="F107" s="3">
        <v>1</v>
      </c>
      <c r="G107" s="3"/>
      <c r="H107" s="3"/>
      <c r="I107" s="3"/>
      <c r="J107" s="3"/>
      <c r="K107" s="3"/>
      <c r="L107" s="3"/>
      <c r="M107" s="3"/>
      <c r="N107" s="3"/>
      <c r="O107" s="3"/>
      <c r="P107" s="3"/>
      <c r="Q107" s="3"/>
      <c r="R107" s="3"/>
      <c r="S107" s="3"/>
      <c r="T107" s="3"/>
      <c r="U107" s="3"/>
      <c r="V107" s="3"/>
      <c r="W107" s="4"/>
      <c r="X107" s="4">
        <f t="shared" ref="X107:X113" si="26">SUM(V107:W107)</f>
        <v>0</v>
      </c>
      <c r="Y107" s="3">
        <f t="shared" ref="Y107:Y115" si="27">SUM(F107:R107,T107:W107)</f>
        <v>1</v>
      </c>
    </row>
    <row r="108" spans="1:26" s="17" customFormat="1">
      <c r="A108" s="15" t="s">
        <v>151</v>
      </c>
      <c r="B108" s="15">
        <v>32</v>
      </c>
      <c r="C108" s="15" t="str">
        <f t="shared" si="23"/>
        <v>555-RFS50V010MF3#5</v>
      </c>
      <c r="D108" s="15" t="str">
        <f t="shared" si="24"/>
        <v>Polarized Electrolytic Capacitor, through hole, radial leads, LS: 2.5mm, 20% 50VDC, length 11mm, +85c Elna</v>
      </c>
      <c r="E108" s="15" t="str">
        <f t="shared" si="25"/>
        <v>Mouser</v>
      </c>
      <c r="F108" s="15">
        <v>4</v>
      </c>
      <c r="G108" s="15">
        <v>2</v>
      </c>
      <c r="H108" s="15">
        <v>2</v>
      </c>
      <c r="I108" s="15">
        <v>2</v>
      </c>
      <c r="J108" s="15">
        <v>2</v>
      </c>
      <c r="K108" s="15">
        <v>5</v>
      </c>
      <c r="L108" s="15">
        <v>2</v>
      </c>
      <c r="M108" s="15">
        <v>2</v>
      </c>
      <c r="N108" s="15">
        <v>5</v>
      </c>
      <c r="O108" s="15"/>
      <c r="P108" s="15">
        <v>2</v>
      </c>
      <c r="Q108" s="15">
        <v>4</v>
      </c>
      <c r="R108" s="15"/>
      <c r="S108" s="15">
        <f t="shared" ref="S108:S115" si="28">SUM(F108:R108)</f>
        <v>32</v>
      </c>
      <c r="T108" s="15"/>
      <c r="U108" s="15"/>
      <c r="V108" s="15"/>
      <c r="W108" s="16"/>
      <c r="X108" s="16">
        <f t="shared" si="26"/>
        <v>0</v>
      </c>
      <c r="Y108" s="15">
        <f t="shared" si="27"/>
        <v>32</v>
      </c>
    </row>
    <row r="109" spans="1:26">
      <c r="A109" s="3" t="s">
        <v>152</v>
      </c>
      <c r="B109" s="3">
        <v>1</v>
      </c>
      <c r="C109" s="3" t="str">
        <f t="shared" si="23"/>
        <v>647-ULD2G1R5MED</v>
      </c>
      <c r="D109" s="3" t="str">
        <f t="shared" si="24"/>
        <v>Polarized Electrolytic Capacitor, through hole, radial leads, LS: 2.5mm, 20% 400VDC, length 11mm, +105c Nichicon</v>
      </c>
      <c r="E109" s="3" t="str">
        <f t="shared" si="25"/>
        <v>Mouser</v>
      </c>
      <c r="F109" s="3"/>
      <c r="G109" s="3"/>
      <c r="H109" s="3"/>
      <c r="I109" s="3"/>
      <c r="J109" s="3"/>
      <c r="K109" s="3"/>
      <c r="L109" s="3"/>
      <c r="M109" s="3"/>
      <c r="N109" s="3"/>
      <c r="O109" s="3"/>
      <c r="P109" s="3">
        <v>1</v>
      </c>
      <c r="Q109" s="3"/>
      <c r="R109" s="3"/>
      <c r="S109" s="3">
        <f t="shared" si="28"/>
        <v>1</v>
      </c>
      <c r="T109" s="3"/>
      <c r="U109" s="3"/>
      <c r="V109" s="3"/>
      <c r="W109" s="4"/>
      <c r="X109" s="4">
        <f t="shared" si="26"/>
        <v>0</v>
      </c>
      <c r="Y109" s="3">
        <f t="shared" si="27"/>
        <v>1</v>
      </c>
    </row>
    <row r="110" spans="1:26" s="17" customFormat="1">
      <c r="A110" s="15" t="s">
        <v>274</v>
      </c>
      <c r="B110" s="15">
        <v>6</v>
      </c>
      <c r="C110" s="15" t="str">
        <f t="shared" si="23"/>
        <v>667-ECE-A1HKS100</v>
      </c>
      <c r="D110" s="15" t="str">
        <f t="shared" si="24"/>
        <v>Polarized Electrolytic Capacitor, through hole, radial leads, LS: 2.5mm, 20% 50VDC, length 5mm, +85c Panasonic</v>
      </c>
      <c r="E110" s="15" t="str">
        <f t="shared" si="25"/>
        <v>Mouser</v>
      </c>
      <c r="F110" s="15"/>
      <c r="G110" s="15"/>
      <c r="H110" s="15"/>
      <c r="I110" s="15"/>
      <c r="J110" s="15"/>
      <c r="K110" s="15"/>
      <c r="L110" s="15"/>
      <c r="M110" s="15"/>
      <c r="N110" s="15"/>
      <c r="O110" s="15"/>
      <c r="P110" s="15"/>
      <c r="Q110" s="15"/>
      <c r="R110" s="15"/>
      <c r="S110" s="15">
        <f t="shared" si="28"/>
        <v>0</v>
      </c>
      <c r="T110" s="15"/>
      <c r="U110" s="15">
        <v>6</v>
      </c>
      <c r="V110" s="15"/>
      <c r="W110" s="16"/>
      <c r="X110" s="16">
        <f t="shared" si="26"/>
        <v>0</v>
      </c>
      <c r="Y110" s="15">
        <f t="shared" si="27"/>
        <v>6</v>
      </c>
      <c r="Z110" s="17" t="s">
        <v>277</v>
      </c>
    </row>
    <row r="111" spans="1:26">
      <c r="A111" s="3" t="s">
        <v>137</v>
      </c>
      <c r="B111" s="5">
        <v>13</v>
      </c>
      <c r="C111" s="3" t="str">
        <f t="shared" si="23"/>
        <v>667-ECA-1VM100I</v>
      </c>
      <c r="D111" s="3" t="str">
        <f t="shared" si="24"/>
        <v>Polarized Electrolytic Capacitor, through hole, radial leads, LS: 2.5mm, 20% 35VDC, length 11mm, +85c Panasonic</v>
      </c>
      <c r="E111" s="3" t="str">
        <f t="shared" si="25"/>
        <v>Mouser</v>
      </c>
      <c r="F111" s="3">
        <v>6</v>
      </c>
      <c r="G111" s="3"/>
      <c r="H111" s="3"/>
      <c r="I111" s="3"/>
      <c r="J111" s="3"/>
      <c r="K111" s="3">
        <v>1</v>
      </c>
      <c r="L111" s="3"/>
      <c r="M111" s="3">
        <v>2</v>
      </c>
      <c r="N111" s="3"/>
      <c r="O111" s="3"/>
      <c r="P111" s="3"/>
      <c r="Q111" s="3"/>
      <c r="R111" s="3"/>
      <c r="S111" s="3">
        <f t="shared" si="28"/>
        <v>9</v>
      </c>
      <c r="T111" s="3"/>
      <c r="U111" s="3"/>
      <c r="V111" s="3">
        <v>4</v>
      </c>
      <c r="W111" s="4"/>
      <c r="X111" s="4">
        <f t="shared" si="26"/>
        <v>4</v>
      </c>
      <c r="Y111" s="3">
        <f t="shared" si="27"/>
        <v>13</v>
      </c>
    </row>
    <row r="112" spans="1:26" s="17" customFormat="1">
      <c r="A112" s="15" t="s">
        <v>275</v>
      </c>
      <c r="B112" s="15">
        <v>2</v>
      </c>
      <c r="C112" s="15" t="str">
        <f t="shared" si="23"/>
        <v xml:space="preserve">667-EEU-EB1H100SH </v>
      </c>
      <c r="D112" s="15" t="str">
        <f t="shared" si="24"/>
        <v>Polarized Electrolytic Capacitor, through hole, radial leads, LS: 2.5mm, 20% 50VDC, length 11mm, +105c Panasonic</v>
      </c>
      <c r="E112" s="15" t="str">
        <f t="shared" si="25"/>
        <v>Mouser</v>
      </c>
      <c r="F112" s="15"/>
      <c r="G112" s="15"/>
      <c r="H112" s="15"/>
      <c r="I112" s="15"/>
      <c r="J112" s="15"/>
      <c r="K112" s="15"/>
      <c r="L112" s="15"/>
      <c r="M112" s="15"/>
      <c r="N112" s="15"/>
      <c r="O112" s="15"/>
      <c r="P112" s="15"/>
      <c r="Q112" s="15"/>
      <c r="R112" s="15"/>
      <c r="S112" s="15">
        <f t="shared" si="28"/>
        <v>0</v>
      </c>
      <c r="T112" s="15">
        <v>2</v>
      </c>
      <c r="U112" s="15"/>
      <c r="V112" s="15"/>
      <c r="W112" s="16"/>
      <c r="X112" s="16">
        <f t="shared" si="26"/>
        <v>0</v>
      </c>
      <c r="Y112" s="15">
        <f t="shared" ref="Y112" si="29">SUM(F112:R112,T112:W112)</f>
        <v>2</v>
      </c>
      <c r="Z112" s="17" t="s">
        <v>278</v>
      </c>
    </row>
    <row r="113" spans="1:26" s="10" customFormat="1">
      <c r="A113" s="5" t="s">
        <v>276</v>
      </c>
      <c r="B113" s="5">
        <v>3</v>
      </c>
      <c r="C113" s="5" t="str">
        <f t="shared" si="23"/>
        <v xml:space="preserve">667-EEU-HD1V470 </v>
      </c>
      <c r="D113" s="5" t="str">
        <f t="shared" si="24"/>
        <v>Polarized Electrolytic Capacitor, through hole, radial leads, LS: 2.5mm, 20% 35VDC, length 11mm, +105c Panasonic</v>
      </c>
      <c r="E113" s="5" t="str">
        <f t="shared" si="25"/>
        <v>Mouser</v>
      </c>
      <c r="F113" s="5"/>
      <c r="G113" s="5"/>
      <c r="H113" s="5"/>
      <c r="I113" s="5"/>
      <c r="J113" s="5"/>
      <c r="K113" s="5"/>
      <c r="L113" s="5"/>
      <c r="M113" s="5"/>
      <c r="N113" s="5"/>
      <c r="O113" s="5"/>
      <c r="P113" s="5"/>
      <c r="Q113" s="5"/>
      <c r="R113" s="5"/>
      <c r="S113" s="5">
        <f t="shared" si="28"/>
        <v>0</v>
      </c>
      <c r="T113" s="5">
        <v>3</v>
      </c>
      <c r="U113" s="5"/>
      <c r="V113" s="5"/>
      <c r="W113" s="9"/>
      <c r="X113" s="9">
        <f t="shared" si="26"/>
        <v>0</v>
      </c>
      <c r="Y113" s="5">
        <f t="shared" si="27"/>
        <v>3</v>
      </c>
      <c r="Z113" s="10" t="s">
        <v>278</v>
      </c>
    </row>
    <row r="114" spans="1:26">
      <c r="A114" s="3"/>
      <c r="B114" s="3"/>
      <c r="C114" s="3"/>
      <c r="D114" s="3"/>
      <c r="E114" s="3"/>
      <c r="F114" s="3"/>
      <c r="G114" s="3"/>
      <c r="H114" s="3"/>
      <c r="I114" s="3"/>
      <c r="J114" s="3"/>
      <c r="K114" s="3"/>
      <c r="L114" s="3"/>
      <c r="M114" s="3"/>
      <c r="N114" s="3"/>
      <c r="O114" s="3"/>
      <c r="P114" s="3"/>
      <c r="Q114" s="3"/>
      <c r="R114" s="3"/>
      <c r="S114" s="3"/>
      <c r="T114" s="3"/>
      <c r="U114" s="3"/>
      <c r="V114" s="3"/>
      <c r="W114" s="4"/>
      <c r="X114" s="4"/>
      <c r="Y114" s="3">
        <f t="shared" si="27"/>
        <v>0</v>
      </c>
    </row>
    <row r="115" spans="1:26" s="20" customFormat="1">
      <c r="A115" s="18" t="s">
        <v>153</v>
      </c>
      <c r="B115" s="18">
        <v>2</v>
      </c>
      <c r="C115" s="18" t="s">
        <v>187</v>
      </c>
      <c r="D115" s="18"/>
      <c r="E115" s="18"/>
      <c r="F115" s="18"/>
      <c r="G115" s="18"/>
      <c r="H115" s="18"/>
      <c r="I115" s="18"/>
      <c r="J115" s="18"/>
      <c r="K115" s="18"/>
      <c r="L115" s="18"/>
      <c r="M115" s="18"/>
      <c r="N115" s="18"/>
      <c r="O115" s="18"/>
      <c r="P115" s="18"/>
      <c r="Q115" s="18"/>
      <c r="R115" s="18"/>
      <c r="S115" s="18">
        <f t="shared" si="28"/>
        <v>0</v>
      </c>
      <c r="T115" s="18">
        <v>2</v>
      </c>
      <c r="U115" s="18"/>
      <c r="V115" s="18"/>
      <c r="W115" s="19"/>
      <c r="X115" s="19">
        <f>SUM(U115:W115)</f>
        <v>0</v>
      </c>
      <c r="Y115" s="18">
        <f t="shared" si="27"/>
        <v>2</v>
      </c>
    </row>
    <row r="116" spans="1:26">
      <c r="Y116" s="3"/>
    </row>
    <row r="117" spans="1:26" s="23" customFormat="1">
      <c r="A117" s="21" t="s">
        <v>132</v>
      </c>
      <c r="B117" s="21">
        <v>53</v>
      </c>
      <c r="C117" s="21" t="str">
        <f t="shared" ref="C117:C139" si="30">VLOOKUP($A117,semis,4,FALSE)</f>
        <v xml:space="preserve">512-1N4148 </v>
      </c>
      <c r="D117" s="21" t="str">
        <f t="shared" ref="D117:D139" si="31">VLOOKUP($A117,semis,2,FALSE)&amp;" "&amp;VLOOKUP($A117,semis,5,FALSE)</f>
        <v>Gen'l purpose diode, through hole, axial leads Fairchild Semiconductor</v>
      </c>
      <c r="E117" s="21" t="str">
        <f t="shared" ref="E117:E139" si="32">VLOOKUP($A117,semis,3,FALSE)</f>
        <v>Mouser</v>
      </c>
      <c r="F117" s="21">
        <v>8</v>
      </c>
      <c r="G117" s="21">
        <v>1</v>
      </c>
      <c r="H117" s="21">
        <v>1</v>
      </c>
      <c r="I117" s="21">
        <v>2</v>
      </c>
      <c r="J117" s="21"/>
      <c r="K117" s="21">
        <v>13</v>
      </c>
      <c r="L117" s="21">
        <v>10</v>
      </c>
      <c r="M117" s="21">
        <v>2</v>
      </c>
      <c r="N117" s="21"/>
      <c r="O117" s="21"/>
      <c r="P117" s="21">
        <v>6</v>
      </c>
      <c r="Q117" s="21">
        <v>4</v>
      </c>
      <c r="R117" s="21">
        <v>2</v>
      </c>
      <c r="S117" s="21">
        <f t="shared" ref="S117:S139" si="33">SUM(F117:R117)</f>
        <v>49</v>
      </c>
      <c r="T117" s="21"/>
      <c r="U117" s="21"/>
      <c r="V117" s="21">
        <v>1</v>
      </c>
      <c r="W117" s="22">
        <v>4</v>
      </c>
      <c r="X117" s="22">
        <f t="shared" ref="X117:X139" si="34">SUM(V117:W117)</f>
        <v>5</v>
      </c>
      <c r="Y117" s="21">
        <f t="shared" ref="Y117:Y139" si="35">SUM(F117:R117,T117:W117)</f>
        <v>54</v>
      </c>
    </row>
    <row r="118" spans="1:26" s="10" customFormat="1">
      <c r="A118" s="5" t="s">
        <v>161</v>
      </c>
      <c r="B118" s="5">
        <v>8</v>
      </c>
      <c r="C118" s="5" t="str">
        <f t="shared" si="30"/>
        <v xml:space="preserve">512-BC33740TA </v>
      </c>
      <c r="D118" s="5" t="str">
        <f t="shared" si="31"/>
        <v>NPN Transistor (higher gain -40 model), TO-92 Fairchild Semiconductor</v>
      </c>
      <c r="E118" s="5" t="str">
        <f t="shared" si="32"/>
        <v>Mouser</v>
      </c>
      <c r="F118" s="5"/>
      <c r="G118" s="5"/>
      <c r="H118" s="5"/>
      <c r="I118" s="5"/>
      <c r="J118" s="5"/>
      <c r="K118" s="5"/>
      <c r="L118" s="5"/>
      <c r="M118" s="5"/>
      <c r="N118" s="5"/>
      <c r="O118" s="5"/>
      <c r="P118" s="5"/>
      <c r="Q118" s="5"/>
      <c r="R118" s="5">
        <v>8</v>
      </c>
      <c r="S118" s="5">
        <f t="shared" si="33"/>
        <v>8</v>
      </c>
      <c r="T118" s="5"/>
      <c r="U118" s="5"/>
      <c r="V118" s="5"/>
      <c r="W118" s="9"/>
      <c r="X118" s="9">
        <f t="shared" si="34"/>
        <v>0</v>
      </c>
      <c r="Y118" s="5">
        <f t="shared" si="35"/>
        <v>8</v>
      </c>
    </row>
    <row r="119" spans="1:26" s="23" customFormat="1">
      <c r="A119" s="21" t="s">
        <v>316</v>
      </c>
      <c r="B119" s="21">
        <v>9</v>
      </c>
      <c r="C119" s="21" t="str">
        <f t="shared" si="30"/>
        <v>512-BC558BTA</v>
      </c>
      <c r="D119" s="21" t="str">
        <f t="shared" si="31"/>
        <v>PNP General Purpose Transistor, TO-92 Fairchild Semiconductor</v>
      </c>
      <c r="E119" s="21" t="str">
        <f t="shared" si="32"/>
        <v>Mouser</v>
      </c>
      <c r="F119" s="21"/>
      <c r="G119" s="21"/>
      <c r="H119" s="21"/>
      <c r="I119" s="21"/>
      <c r="J119" s="21"/>
      <c r="K119" s="21"/>
      <c r="L119" s="21">
        <v>3</v>
      </c>
      <c r="M119" s="21">
        <v>1</v>
      </c>
      <c r="N119" s="21"/>
      <c r="O119" s="21"/>
      <c r="P119" s="21">
        <v>4</v>
      </c>
      <c r="Q119" s="21"/>
      <c r="R119" s="21"/>
      <c r="S119" s="21">
        <f t="shared" si="33"/>
        <v>8</v>
      </c>
      <c r="T119" s="21"/>
      <c r="U119" s="21"/>
      <c r="V119" s="21"/>
      <c r="W119" s="22">
        <v>1</v>
      </c>
      <c r="X119" s="22">
        <f t="shared" si="34"/>
        <v>1</v>
      </c>
      <c r="Y119" s="21">
        <f t="shared" si="35"/>
        <v>9</v>
      </c>
    </row>
    <row r="120" spans="1:26" s="10" customFormat="1">
      <c r="A120" s="5" t="s">
        <v>154</v>
      </c>
      <c r="B120" s="5">
        <v>3</v>
      </c>
      <c r="C120" s="5" t="str">
        <f t="shared" si="30"/>
        <v>CA3046</v>
      </c>
      <c r="D120" s="5" t="str">
        <f t="shared" si="31"/>
        <v>Transistor array, DIP-14 Harris</v>
      </c>
      <c r="E120" s="5" t="str">
        <f t="shared" si="32"/>
        <v>Aftermarket</v>
      </c>
      <c r="F120" s="5"/>
      <c r="G120" s="5"/>
      <c r="H120" s="5"/>
      <c r="I120" s="5"/>
      <c r="J120" s="5"/>
      <c r="K120" s="5"/>
      <c r="L120" s="5"/>
      <c r="M120" s="5"/>
      <c r="N120" s="5"/>
      <c r="O120" s="5"/>
      <c r="P120" s="5"/>
      <c r="Q120" s="5"/>
      <c r="R120" s="5"/>
      <c r="S120" s="5">
        <f t="shared" si="33"/>
        <v>0</v>
      </c>
      <c r="T120" s="5"/>
      <c r="U120" s="5">
        <v>3</v>
      </c>
      <c r="V120" s="5"/>
      <c r="W120" s="9"/>
      <c r="X120" s="9">
        <f t="shared" si="34"/>
        <v>0</v>
      </c>
      <c r="Y120" s="5">
        <f t="shared" si="35"/>
        <v>3</v>
      </c>
    </row>
    <row r="121" spans="1:26" s="23" customFormat="1">
      <c r="A121" s="21" t="s">
        <v>367</v>
      </c>
      <c r="B121" s="21">
        <v>2</v>
      </c>
      <c r="C121" s="21" t="str">
        <f t="shared" si="30"/>
        <v>SPM15-150-Q12P-C</v>
      </c>
      <c r="D121" s="21" t="str">
        <f t="shared" si="31"/>
        <v>Isolated DC/DC Converters 15W 9-36Vin 15Vout 1.1A Positive Logic  Murata</v>
      </c>
      <c r="E121" s="21" t="str">
        <f t="shared" si="32"/>
        <v>Mouser</v>
      </c>
      <c r="F121" s="21"/>
      <c r="G121" s="21"/>
      <c r="H121" s="21"/>
      <c r="I121" s="21"/>
      <c r="J121" s="21"/>
      <c r="K121" s="21"/>
      <c r="L121" s="21"/>
      <c r="M121" s="21"/>
      <c r="N121" s="21"/>
      <c r="O121" s="21"/>
      <c r="P121" s="21"/>
      <c r="Q121" s="21"/>
      <c r="R121" s="21"/>
      <c r="S121" s="21">
        <f t="shared" si="33"/>
        <v>0</v>
      </c>
      <c r="T121" s="21">
        <v>2</v>
      </c>
      <c r="U121" s="21"/>
      <c r="V121" s="21"/>
      <c r="W121" s="22"/>
      <c r="X121" s="22">
        <f t="shared" si="34"/>
        <v>0</v>
      </c>
      <c r="Y121" s="21">
        <f t="shared" si="35"/>
        <v>2</v>
      </c>
    </row>
    <row r="122" spans="1:26" s="10" customFormat="1">
      <c r="A122" s="5" t="s">
        <v>162</v>
      </c>
      <c r="B122" s="5">
        <v>34</v>
      </c>
      <c r="C122" s="5" t="str">
        <f t="shared" si="30"/>
        <v>926-LM301AN</v>
      </c>
      <c r="D122" s="5" t="str">
        <f t="shared" si="31"/>
        <v>Single Op Amp, DIP-8 Texas Instruments</v>
      </c>
      <c r="E122" s="5" t="str">
        <f t="shared" si="32"/>
        <v>Mouser</v>
      </c>
      <c r="F122" s="5">
        <v>6</v>
      </c>
      <c r="G122" s="5">
        <v>1</v>
      </c>
      <c r="H122" s="5">
        <v>4</v>
      </c>
      <c r="I122" s="5">
        <v>1</v>
      </c>
      <c r="J122" s="5"/>
      <c r="K122" s="5">
        <v>2</v>
      </c>
      <c r="L122" s="5">
        <v>1</v>
      </c>
      <c r="M122" s="5">
        <v>7</v>
      </c>
      <c r="N122" s="5">
        <v>3</v>
      </c>
      <c r="O122" s="5">
        <v>3</v>
      </c>
      <c r="P122" s="5">
        <v>3</v>
      </c>
      <c r="Q122" s="5">
        <v>2</v>
      </c>
      <c r="R122" s="5"/>
      <c r="S122" s="5">
        <f t="shared" si="33"/>
        <v>33</v>
      </c>
      <c r="T122" s="5"/>
      <c r="U122" s="5"/>
      <c r="V122" s="5"/>
      <c r="W122" s="9">
        <v>1</v>
      </c>
      <c r="X122" s="9">
        <f t="shared" si="34"/>
        <v>1</v>
      </c>
      <c r="Y122" s="5">
        <f t="shared" si="35"/>
        <v>34</v>
      </c>
    </row>
    <row r="123" spans="1:26" s="23" customFormat="1">
      <c r="A123" s="21" t="s">
        <v>182</v>
      </c>
      <c r="B123" s="21">
        <v>1</v>
      </c>
      <c r="C123" s="21" t="str">
        <f t="shared" si="30"/>
        <v xml:space="preserve">926-LM1458N/NOPB </v>
      </c>
      <c r="D123" s="21" t="str">
        <f t="shared" si="31"/>
        <v>Dual Op Amp, DIP-8 Texas Instruments</v>
      </c>
      <c r="E123" s="21" t="str">
        <f t="shared" si="32"/>
        <v>Mouser</v>
      </c>
      <c r="F123" s="21"/>
      <c r="G123" s="21"/>
      <c r="H123" s="21"/>
      <c r="I123" s="21"/>
      <c r="J123" s="21"/>
      <c r="K123" s="21"/>
      <c r="L123" s="21"/>
      <c r="M123" s="21"/>
      <c r="N123" s="21"/>
      <c r="O123" s="21"/>
      <c r="P123" s="21"/>
      <c r="Q123" s="21"/>
      <c r="R123" s="21"/>
      <c r="S123" s="21">
        <f t="shared" si="33"/>
        <v>0</v>
      </c>
      <c r="T123" s="21"/>
      <c r="U123" s="21"/>
      <c r="V123" s="21">
        <v>1</v>
      </c>
      <c r="W123" s="22"/>
      <c r="X123" s="22">
        <f t="shared" si="34"/>
        <v>1</v>
      </c>
      <c r="Y123" s="21">
        <f t="shared" si="35"/>
        <v>1</v>
      </c>
    </row>
    <row r="124" spans="1:26" s="10" customFormat="1">
      <c r="A124" s="5" t="s">
        <v>169</v>
      </c>
      <c r="B124" s="5">
        <v>1</v>
      </c>
      <c r="C124" s="5" t="str">
        <f t="shared" si="30"/>
        <v>926-LM2991S/NOPB</v>
      </c>
      <c r="D124" s="5" t="str">
        <f t="shared" si="31"/>
        <v>Negative LDO Voltage Regulator 1.5A Adj., KTTR Texas Instruments</v>
      </c>
      <c r="E124" s="5" t="str">
        <f t="shared" si="32"/>
        <v>Mouser</v>
      </c>
      <c r="F124" s="5"/>
      <c r="G124" s="5"/>
      <c r="H124" s="5"/>
      <c r="I124" s="5"/>
      <c r="J124" s="5"/>
      <c r="K124" s="5"/>
      <c r="L124" s="5"/>
      <c r="M124" s="5"/>
      <c r="N124" s="5"/>
      <c r="O124" s="5"/>
      <c r="P124" s="5"/>
      <c r="Q124" s="5"/>
      <c r="R124" s="5"/>
      <c r="S124" s="5">
        <f t="shared" si="33"/>
        <v>0</v>
      </c>
      <c r="T124" s="5">
        <v>1</v>
      </c>
      <c r="U124" s="5"/>
      <c r="V124" s="5"/>
      <c r="W124" s="9"/>
      <c r="X124" s="9">
        <f t="shared" si="34"/>
        <v>0</v>
      </c>
      <c r="Y124" s="5">
        <f t="shared" si="35"/>
        <v>1</v>
      </c>
    </row>
    <row r="125" spans="1:26" s="23" customFormat="1">
      <c r="A125" s="21" t="s">
        <v>183</v>
      </c>
      <c r="B125" s="21">
        <v>1</v>
      </c>
      <c r="C125" s="21" t="str">
        <f t="shared" si="30"/>
        <v>595-LM3900N</v>
      </c>
      <c r="D125" s="21" t="str">
        <f t="shared" si="31"/>
        <v>Quad Op Amp, DIP-14 Texas Instruments</v>
      </c>
      <c r="E125" s="21" t="str">
        <f t="shared" si="32"/>
        <v>Mouser</v>
      </c>
      <c r="F125" s="21"/>
      <c r="G125" s="21"/>
      <c r="H125" s="21"/>
      <c r="I125" s="21"/>
      <c r="J125" s="21"/>
      <c r="K125" s="21"/>
      <c r="L125" s="21"/>
      <c r="M125" s="21"/>
      <c r="N125" s="21"/>
      <c r="O125" s="21"/>
      <c r="P125" s="21"/>
      <c r="Q125" s="21"/>
      <c r="R125" s="21"/>
      <c r="S125" s="21">
        <f t="shared" si="33"/>
        <v>0</v>
      </c>
      <c r="T125" s="21"/>
      <c r="U125" s="21"/>
      <c r="V125" s="21">
        <v>1</v>
      </c>
      <c r="W125" s="22"/>
      <c r="X125" s="22">
        <f t="shared" si="34"/>
        <v>1</v>
      </c>
      <c r="Y125" s="21">
        <f t="shared" si="35"/>
        <v>1</v>
      </c>
    </row>
    <row r="126" spans="1:26" s="10" customFormat="1">
      <c r="A126" s="5" t="s">
        <v>163</v>
      </c>
      <c r="B126" s="5">
        <v>2</v>
      </c>
      <c r="C126" s="5" t="str">
        <f t="shared" si="30"/>
        <v>512-MJE172STU</v>
      </c>
      <c r="D126" s="5" t="str">
        <f t="shared" si="31"/>
        <v>PNP Epitaxial Transistor, TO-126 Fairchild Semiconductor</v>
      </c>
      <c r="E126" s="5" t="str">
        <f t="shared" si="32"/>
        <v>Mouser</v>
      </c>
      <c r="F126" s="5"/>
      <c r="G126" s="5"/>
      <c r="H126" s="5"/>
      <c r="I126" s="5"/>
      <c r="J126" s="5"/>
      <c r="K126" s="5"/>
      <c r="L126" s="5"/>
      <c r="M126" s="5"/>
      <c r="N126" s="5"/>
      <c r="O126" s="5"/>
      <c r="P126" s="5"/>
      <c r="Q126" s="5">
        <v>2</v>
      </c>
      <c r="R126" s="5"/>
      <c r="S126" s="5">
        <f t="shared" si="33"/>
        <v>2</v>
      </c>
      <c r="T126" s="5"/>
      <c r="U126" s="5"/>
      <c r="V126" s="5"/>
      <c r="W126" s="9"/>
      <c r="X126" s="9">
        <f t="shared" si="34"/>
        <v>0</v>
      </c>
      <c r="Y126" s="5">
        <f t="shared" si="35"/>
        <v>2</v>
      </c>
    </row>
    <row r="127" spans="1:26" s="23" customFormat="1">
      <c r="A127" s="21" t="s">
        <v>160</v>
      </c>
      <c r="B127" s="21">
        <v>2</v>
      </c>
      <c r="C127" s="21" t="str">
        <f t="shared" si="30"/>
        <v>512-MJE182STU</v>
      </c>
      <c r="D127" s="21" t="str">
        <f t="shared" si="31"/>
        <v>NPN Epitaxial Transitor, TO-126 Fairchild Semiconductor</v>
      </c>
      <c r="E127" s="21" t="str">
        <f t="shared" si="32"/>
        <v>Mouser</v>
      </c>
      <c r="F127" s="21"/>
      <c r="G127" s="21"/>
      <c r="H127" s="21"/>
      <c r="I127" s="21"/>
      <c r="J127" s="21"/>
      <c r="K127" s="21"/>
      <c r="L127" s="21"/>
      <c r="M127" s="21"/>
      <c r="N127" s="21"/>
      <c r="O127" s="21"/>
      <c r="P127" s="21"/>
      <c r="Q127" s="21">
        <v>2</v>
      </c>
      <c r="R127" s="21"/>
      <c r="S127" s="21">
        <f t="shared" si="33"/>
        <v>2</v>
      </c>
      <c r="T127" s="21"/>
      <c r="U127" s="21"/>
      <c r="V127" s="21"/>
      <c r="W127" s="22"/>
      <c r="X127" s="22">
        <f t="shared" si="34"/>
        <v>0</v>
      </c>
      <c r="Y127" s="21">
        <f t="shared" si="35"/>
        <v>2</v>
      </c>
    </row>
    <row r="128" spans="1:26" s="10" customFormat="1">
      <c r="A128" s="5" t="s">
        <v>170</v>
      </c>
      <c r="B128" s="5">
        <v>1</v>
      </c>
      <c r="C128" s="5" t="str">
        <f t="shared" si="30"/>
        <v xml:space="preserve">595-TL1963AKTTR </v>
      </c>
      <c r="D128" s="5" t="str">
        <f t="shared" si="31"/>
        <v>Positive LDO Voltage Regulator 1.5A Adj., KTTR Texas Instruments</v>
      </c>
      <c r="E128" s="5" t="str">
        <f t="shared" si="32"/>
        <v>Mouser</v>
      </c>
      <c r="F128" s="5"/>
      <c r="G128" s="5"/>
      <c r="H128" s="5"/>
      <c r="I128" s="5"/>
      <c r="J128" s="5"/>
      <c r="K128" s="5"/>
      <c r="L128" s="5"/>
      <c r="M128" s="5"/>
      <c r="N128" s="5"/>
      <c r="O128" s="5"/>
      <c r="P128" s="5"/>
      <c r="Q128" s="5"/>
      <c r="R128" s="5"/>
      <c r="S128" s="5">
        <f t="shared" si="33"/>
        <v>0</v>
      </c>
      <c r="T128" s="5">
        <v>1</v>
      </c>
      <c r="U128" s="5"/>
      <c r="V128" s="5"/>
      <c r="W128" s="9"/>
      <c r="X128" s="9">
        <f t="shared" si="34"/>
        <v>0</v>
      </c>
      <c r="Y128" s="5">
        <f t="shared" si="35"/>
        <v>1</v>
      </c>
    </row>
    <row r="129" spans="1:26" s="23" customFormat="1">
      <c r="A129" s="21" t="s">
        <v>157</v>
      </c>
      <c r="B129" s="21">
        <v>29</v>
      </c>
      <c r="C129" s="21" t="str">
        <f t="shared" si="30"/>
        <v xml:space="preserve">512-2N3904TA </v>
      </c>
      <c r="D129" s="21" t="str">
        <f t="shared" si="31"/>
        <v>NPN General Purpose Transistor, TO-92 Fairchild Semiconductor</v>
      </c>
      <c r="E129" s="21" t="str">
        <f t="shared" si="32"/>
        <v>Mouser</v>
      </c>
      <c r="F129" s="21">
        <v>6</v>
      </c>
      <c r="G129" s="21"/>
      <c r="H129" s="21"/>
      <c r="I129" s="21"/>
      <c r="J129" s="21"/>
      <c r="K129" s="21">
        <v>2</v>
      </c>
      <c r="L129" s="21">
        <v>4</v>
      </c>
      <c r="M129" s="21"/>
      <c r="N129" s="21"/>
      <c r="O129" s="21"/>
      <c r="P129" s="21"/>
      <c r="Q129" s="21"/>
      <c r="R129" s="21"/>
      <c r="S129" s="21">
        <f t="shared" si="33"/>
        <v>12</v>
      </c>
      <c r="T129" s="21"/>
      <c r="U129" s="21">
        <v>3</v>
      </c>
      <c r="V129" s="21">
        <v>1</v>
      </c>
      <c r="W129" s="22">
        <v>13</v>
      </c>
      <c r="X129" s="22">
        <f t="shared" si="34"/>
        <v>14</v>
      </c>
      <c r="Y129" s="21">
        <f t="shared" si="35"/>
        <v>29</v>
      </c>
      <c r="Z129" s="23" t="s">
        <v>407</v>
      </c>
    </row>
    <row r="130" spans="1:26" s="10" customFormat="1">
      <c r="A130" s="5" t="s">
        <v>158</v>
      </c>
      <c r="B130" s="5">
        <v>29</v>
      </c>
      <c r="C130" s="5" t="str">
        <f t="shared" si="30"/>
        <v xml:space="preserve">512-2N3906TFR </v>
      </c>
      <c r="D130" s="5" t="str">
        <f t="shared" si="31"/>
        <v>PNP General Purpose Transistor, TO-92 Fairchild Semiconductor</v>
      </c>
      <c r="E130" s="5" t="str">
        <f t="shared" si="32"/>
        <v>Mouser</v>
      </c>
      <c r="F130" s="5">
        <v>6</v>
      </c>
      <c r="G130" s="5"/>
      <c r="H130" s="5">
        <v>1</v>
      </c>
      <c r="I130" s="5"/>
      <c r="J130" s="5"/>
      <c r="K130" s="5">
        <v>3</v>
      </c>
      <c r="L130" s="5">
        <v>5</v>
      </c>
      <c r="M130" s="5"/>
      <c r="N130" s="5"/>
      <c r="O130" s="5"/>
      <c r="P130" s="5"/>
      <c r="Q130" s="5"/>
      <c r="R130" s="5">
        <v>1</v>
      </c>
      <c r="S130" s="5">
        <f t="shared" si="33"/>
        <v>16</v>
      </c>
      <c r="T130" s="5"/>
      <c r="U130" s="5">
        <v>3</v>
      </c>
      <c r="V130" s="5">
        <v>5</v>
      </c>
      <c r="W130" s="9">
        <v>4</v>
      </c>
      <c r="X130" s="9">
        <f t="shared" si="34"/>
        <v>9</v>
      </c>
      <c r="Y130" s="5">
        <f t="shared" si="35"/>
        <v>28</v>
      </c>
      <c r="Z130" s="10" t="s">
        <v>408</v>
      </c>
    </row>
    <row r="131" spans="1:26" s="23" customFormat="1">
      <c r="A131" s="21" t="s">
        <v>165</v>
      </c>
      <c r="B131" s="21">
        <v>1</v>
      </c>
      <c r="C131" s="21" t="str">
        <f t="shared" si="30"/>
        <v>2N3954</v>
      </c>
      <c r="D131" s="21" t="str">
        <f t="shared" si="31"/>
        <v>Dual N Channel JFET, CAN-6 Motorola</v>
      </c>
      <c r="E131" s="21" t="str">
        <f t="shared" si="32"/>
        <v>Aftermarket</v>
      </c>
      <c r="F131" s="21"/>
      <c r="G131" s="21"/>
      <c r="H131" s="21">
        <v>1</v>
      </c>
      <c r="I131" s="21"/>
      <c r="J131" s="21"/>
      <c r="K131" s="21"/>
      <c r="L131" s="21"/>
      <c r="M131" s="21"/>
      <c r="N131" s="21"/>
      <c r="O131" s="21"/>
      <c r="P131" s="21"/>
      <c r="Q131" s="21"/>
      <c r="R131" s="21"/>
      <c r="S131" s="21">
        <f t="shared" si="33"/>
        <v>1</v>
      </c>
      <c r="T131" s="21"/>
      <c r="U131" s="21"/>
      <c r="V131" s="21"/>
      <c r="W131" s="22"/>
      <c r="X131" s="22">
        <f t="shared" si="34"/>
        <v>0</v>
      </c>
      <c r="Y131" s="21">
        <f t="shared" si="35"/>
        <v>1</v>
      </c>
    </row>
    <row r="132" spans="1:26" s="10" customFormat="1">
      <c r="A132" s="5" t="s">
        <v>166</v>
      </c>
      <c r="B132" s="5">
        <v>2</v>
      </c>
      <c r="C132" s="5" t="str">
        <f t="shared" si="30"/>
        <v>2N3958</v>
      </c>
      <c r="D132" s="5" t="str">
        <f t="shared" si="31"/>
        <v>Dual N Channel JFET, CAN-6 Motorola</v>
      </c>
      <c r="E132" s="5" t="str">
        <f t="shared" si="32"/>
        <v>Aftermarket</v>
      </c>
      <c r="F132" s="5"/>
      <c r="G132" s="5"/>
      <c r="H132" s="5"/>
      <c r="I132" s="5"/>
      <c r="J132" s="5"/>
      <c r="K132" s="5"/>
      <c r="L132" s="5"/>
      <c r="M132" s="5"/>
      <c r="N132" s="5"/>
      <c r="O132" s="5"/>
      <c r="P132" s="5">
        <v>1</v>
      </c>
      <c r="Q132" s="5"/>
      <c r="R132" s="5"/>
      <c r="S132" s="5">
        <f t="shared" si="33"/>
        <v>1</v>
      </c>
      <c r="T132" s="5"/>
      <c r="U132" s="5"/>
      <c r="V132" s="5"/>
      <c r="W132" s="9">
        <v>1</v>
      </c>
      <c r="X132" s="9">
        <f t="shared" si="34"/>
        <v>1</v>
      </c>
      <c r="Y132" s="5">
        <f t="shared" si="35"/>
        <v>2</v>
      </c>
    </row>
    <row r="133" spans="1:26" s="23" customFormat="1">
      <c r="A133" s="21" t="s">
        <v>156</v>
      </c>
      <c r="B133" s="21">
        <v>3</v>
      </c>
      <c r="C133" s="21" t="str">
        <f t="shared" si="30"/>
        <v>2N4125</v>
      </c>
      <c r="D133" s="21" t="str">
        <f t="shared" si="31"/>
        <v>PNP General Purpose Amplifier, TO-92 Fairchild Semiconductor</v>
      </c>
      <c r="E133" s="21" t="str">
        <f t="shared" si="32"/>
        <v>Aftermarket</v>
      </c>
      <c r="F133" s="21"/>
      <c r="G133" s="21"/>
      <c r="H133" s="21"/>
      <c r="I133" s="21"/>
      <c r="J133" s="21"/>
      <c r="K133" s="21"/>
      <c r="L133" s="21"/>
      <c r="M133" s="21"/>
      <c r="N133" s="21"/>
      <c r="O133" s="21"/>
      <c r="P133" s="21"/>
      <c r="Q133" s="21"/>
      <c r="R133" s="21"/>
      <c r="S133" s="21">
        <f t="shared" si="33"/>
        <v>0</v>
      </c>
      <c r="T133" s="21"/>
      <c r="U133" s="21">
        <v>3</v>
      </c>
      <c r="V133" s="21"/>
      <c r="W133" s="22"/>
      <c r="X133" s="22">
        <f t="shared" si="34"/>
        <v>0</v>
      </c>
      <c r="Y133" s="21">
        <f t="shared" si="35"/>
        <v>3</v>
      </c>
    </row>
    <row r="134" spans="1:26" s="10" customFormat="1">
      <c r="A134" s="5" t="s">
        <v>159</v>
      </c>
      <c r="B134" s="5">
        <v>4</v>
      </c>
      <c r="C134" s="5" t="str">
        <f t="shared" si="30"/>
        <v>610-2N4392</v>
      </c>
      <c r="D134" s="5" t="str">
        <f t="shared" si="31"/>
        <v>N Channel JFET, TO18 Central Semconductor</v>
      </c>
      <c r="E134" s="5" t="str">
        <f t="shared" si="32"/>
        <v>Mouser</v>
      </c>
      <c r="F134" s="5"/>
      <c r="G134" s="5"/>
      <c r="H134" s="5"/>
      <c r="I134" s="5"/>
      <c r="J134" s="5"/>
      <c r="K134" s="5">
        <v>1</v>
      </c>
      <c r="L134" s="5"/>
      <c r="M134" s="5"/>
      <c r="N134" s="5"/>
      <c r="O134" s="5"/>
      <c r="P134" s="5">
        <v>3</v>
      </c>
      <c r="Q134" s="5"/>
      <c r="R134" s="5"/>
      <c r="S134" s="5">
        <f t="shared" si="33"/>
        <v>4</v>
      </c>
      <c r="T134" s="5"/>
      <c r="U134" s="5"/>
      <c r="V134" s="5"/>
      <c r="W134" s="9"/>
      <c r="X134" s="9">
        <f t="shared" si="34"/>
        <v>0</v>
      </c>
      <c r="Y134" s="5">
        <f t="shared" si="35"/>
        <v>4</v>
      </c>
    </row>
    <row r="135" spans="1:26" s="23" customFormat="1">
      <c r="A135" s="21" t="s">
        <v>164</v>
      </c>
      <c r="B135" s="21">
        <v>1</v>
      </c>
      <c r="C135" s="21" t="str">
        <f t="shared" si="30"/>
        <v>2N4870</v>
      </c>
      <c r="D135" s="21" t="str">
        <f t="shared" si="31"/>
        <v>Unijunction Transistor, TO-92 Motorola</v>
      </c>
      <c r="E135" s="21" t="str">
        <f t="shared" si="32"/>
        <v>Aftermarket</v>
      </c>
      <c r="F135" s="21"/>
      <c r="G135" s="21"/>
      <c r="H135" s="21"/>
      <c r="I135" s="21"/>
      <c r="J135" s="21"/>
      <c r="K135" s="21"/>
      <c r="L135" s="21"/>
      <c r="M135" s="21"/>
      <c r="N135" s="21"/>
      <c r="O135" s="21"/>
      <c r="P135" s="21">
        <v>1</v>
      </c>
      <c r="Q135" s="21"/>
      <c r="R135" s="21"/>
      <c r="S135" s="21">
        <f t="shared" si="33"/>
        <v>1</v>
      </c>
      <c r="T135" s="21"/>
      <c r="U135" s="21"/>
      <c r="V135" s="21"/>
      <c r="W135" s="22"/>
      <c r="X135" s="22">
        <f t="shared" si="34"/>
        <v>0</v>
      </c>
      <c r="Y135" s="21">
        <f t="shared" si="35"/>
        <v>1</v>
      </c>
    </row>
    <row r="136" spans="1:26" s="10" customFormat="1">
      <c r="A136" s="5" t="s">
        <v>181</v>
      </c>
      <c r="B136" s="5">
        <v>8</v>
      </c>
      <c r="C136" s="5" t="str">
        <f t="shared" si="30"/>
        <v>610-2N5087</v>
      </c>
      <c r="D136" s="5" t="str">
        <f t="shared" si="31"/>
        <v>PNP General Purpose Transistor, TO-92 Central Semconductor</v>
      </c>
      <c r="E136" s="5" t="str">
        <f t="shared" si="32"/>
        <v>Mouser</v>
      </c>
      <c r="F136" s="5"/>
      <c r="G136" s="5"/>
      <c r="H136" s="5"/>
      <c r="I136" s="5"/>
      <c r="J136" s="5"/>
      <c r="K136" s="5"/>
      <c r="L136" s="5"/>
      <c r="M136" s="5"/>
      <c r="N136" s="5"/>
      <c r="O136" s="5"/>
      <c r="P136" s="5"/>
      <c r="Q136" s="5"/>
      <c r="R136" s="5"/>
      <c r="S136" s="5">
        <f t="shared" si="33"/>
        <v>0</v>
      </c>
      <c r="T136" s="5"/>
      <c r="U136" s="5"/>
      <c r="V136" s="5">
        <v>8</v>
      </c>
      <c r="W136" s="9"/>
      <c r="X136" s="9">
        <f t="shared" si="34"/>
        <v>8</v>
      </c>
      <c r="Y136" s="5">
        <f t="shared" si="35"/>
        <v>8</v>
      </c>
      <c r="Z136" s="10" t="s">
        <v>409</v>
      </c>
    </row>
    <row r="137" spans="1:26" s="23" customFormat="1">
      <c r="A137" s="21" t="s">
        <v>167</v>
      </c>
      <c r="B137" s="21">
        <v>17</v>
      </c>
      <c r="C137" s="21" t="str">
        <f t="shared" si="30"/>
        <v xml:space="preserve">610-2N5172 </v>
      </c>
      <c r="D137" s="21" t="str">
        <f t="shared" si="31"/>
        <v>NPN Low Noise Transistor, TO-92 Central Semconductor</v>
      </c>
      <c r="E137" s="21" t="str">
        <f t="shared" si="32"/>
        <v>Mouser</v>
      </c>
      <c r="F137" s="21"/>
      <c r="G137" s="21"/>
      <c r="H137" s="21">
        <v>1</v>
      </c>
      <c r="I137" s="21"/>
      <c r="J137" s="21"/>
      <c r="K137" s="21">
        <v>3</v>
      </c>
      <c r="L137" s="21">
        <v>1</v>
      </c>
      <c r="M137" s="21">
        <v>2</v>
      </c>
      <c r="N137" s="21">
        <v>1</v>
      </c>
      <c r="O137" s="21"/>
      <c r="P137" s="21">
        <v>7</v>
      </c>
      <c r="Q137" s="21">
        <v>2</v>
      </c>
      <c r="R137" s="21"/>
      <c r="S137" s="21">
        <f t="shared" si="33"/>
        <v>17</v>
      </c>
      <c r="T137" s="21"/>
      <c r="U137" s="21"/>
      <c r="V137" s="21"/>
      <c r="W137" s="22"/>
      <c r="X137" s="22">
        <f t="shared" si="34"/>
        <v>0</v>
      </c>
      <c r="Y137" s="21">
        <f t="shared" si="35"/>
        <v>17</v>
      </c>
    </row>
    <row r="138" spans="1:26" s="10" customFormat="1">
      <c r="A138" s="5" t="s">
        <v>155</v>
      </c>
      <c r="B138" s="5">
        <v>6</v>
      </c>
      <c r="C138" s="5" t="str">
        <f t="shared" si="30"/>
        <v>2N5459</v>
      </c>
      <c r="D138" s="5" t="str">
        <f t="shared" si="31"/>
        <v>N Channel General Purpose Amplifier, TO-92 Fairchild Semiconductor</v>
      </c>
      <c r="E138" s="5" t="str">
        <f t="shared" si="32"/>
        <v>Aftermarket</v>
      </c>
      <c r="F138" s="5"/>
      <c r="G138" s="5"/>
      <c r="H138" s="5"/>
      <c r="I138" s="5"/>
      <c r="J138" s="5"/>
      <c r="K138" s="5"/>
      <c r="L138" s="5"/>
      <c r="M138" s="5"/>
      <c r="N138" s="5"/>
      <c r="O138" s="5"/>
      <c r="P138" s="5"/>
      <c r="Q138" s="5"/>
      <c r="R138" s="5"/>
      <c r="S138" s="5">
        <f t="shared" si="33"/>
        <v>0</v>
      </c>
      <c r="T138" s="5"/>
      <c r="U138" s="5">
        <v>6</v>
      </c>
      <c r="V138" s="5"/>
      <c r="W138" s="9"/>
      <c r="X138" s="9">
        <f t="shared" si="34"/>
        <v>0</v>
      </c>
      <c r="Y138" s="5">
        <f t="shared" si="35"/>
        <v>6</v>
      </c>
    </row>
    <row r="139" spans="1:26" s="23" customFormat="1">
      <c r="A139" s="21" t="s">
        <v>168</v>
      </c>
      <c r="B139" s="21">
        <v>2</v>
      </c>
      <c r="C139" s="21" t="str">
        <f t="shared" si="30"/>
        <v>610-2N5460</v>
      </c>
      <c r="D139" s="21" t="str">
        <f t="shared" si="31"/>
        <v>P Channel JFET, TO-92 Central Semconductor</v>
      </c>
      <c r="E139" s="21" t="str">
        <f t="shared" si="32"/>
        <v>Mouser</v>
      </c>
      <c r="F139" s="21"/>
      <c r="G139" s="21"/>
      <c r="H139" s="21"/>
      <c r="I139" s="21"/>
      <c r="J139" s="21"/>
      <c r="K139" s="21">
        <v>2</v>
      </c>
      <c r="L139" s="21"/>
      <c r="M139" s="21"/>
      <c r="N139" s="21"/>
      <c r="O139" s="21"/>
      <c r="P139" s="21"/>
      <c r="Q139" s="21"/>
      <c r="R139" s="21"/>
      <c r="S139" s="21">
        <f t="shared" si="33"/>
        <v>2</v>
      </c>
      <c r="T139" s="21"/>
      <c r="U139" s="21"/>
      <c r="V139" s="21"/>
      <c r="W139" s="22"/>
      <c r="X139" s="22">
        <f t="shared" si="34"/>
        <v>0</v>
      </c>
      <c r="Y139" s="21">
        <f t="shared" si="35"/>
        <v>2</v>
      </c>
    </row>
    <row r="140" spans="1:26" s="32" customFormat="1">
      <c r="A140" s="30"/>
      <c r="B140" s="30"/>
      <c r="C140" s="30"/>
      <c r="D140" s="33" t="s">
        <v>372</v>
      </c>
      <c r="E140" s="30"/>
      <c r="F140" s="30"/>
      <c r="G140" s="30"/>
      <c r="H140" s="30"/>
      <c r="I140" s="30"/>
      <c r="J140" s="30"/>
      <c r="K140" s="30"/>
      <c r="L140" s="30"/>
      <c r="M140" s="30"/>
      <c r="N140" s="30"/>
      <c r="O140" s="30"/>
      <c r="P140" s="30"/>
      <c r="Q140" s="30"/>
      <c r="R140" s="30"/>
      <c r="S140" s="30"/>
      <c r="T140" s="30"/>
      <c r="U140" s="30"/>
      <c r="V140" s="30"/>
      <c r="W140" s="31"/>
      <c r="X140" s="31"/>
      <c r="Y140" s="30"/>
    </row>
  </sheetData>
  <mergeCells count="2">
    <mergeCell ref="F2:S2"/>
    <mergeCell ref="T2:W2"/>
  </mergeCells>
  <pageMargins left="0.7" right="0.7" top="0.75" bottom="0.75" header="0.3" footer="0.3"/>
  <pageSetup orientation="portrait" horizontalDpi="4294967293" verticalDpi="4294967293" r:id="rId1"/>
  <legacyDrawing r:id="rId2"/>
</worksheet>
</file>

<file path=xl/worksheets/sheet3.xml><?xml version="1.0" encoding="utf-8"?>
<worksheet xmlns="http://schemas.openxmlformats.org/spreadsheetml/2006/main" xmlns:r="http://schemas.openxmlformats.org/officeDocument/2006/relationships">
  <dimension ref="A1:E143"/>
  <sheetViews>
    <sheetView topLeftCell="A118" workbookViewId="0">
      <selection activeCell="A137" sqref="A137"/>
    </sheetView>
  </sheetViews>
  <sheetFormatPr defaultRowHeight="15"/>
  <cols>
    <col min="1" max="1" width="21.28515625" customWidth="1"/>
    <col min="2" max="2" width="49" bestFit="1" customWidth="1"/>
    <col min="3" max="3" width="7.7109375" bestFit="1" customWidth="1"/>
    <col min="4" max="4" width="21.5703125" bestFit="1" customWidth="1"/>
    <col min="5" max="5" width="10.42578125" bestFit="1" customWidth="1"/>
    <col min="9" max="9" width="19.42578125" bestFit="1" customWidth="1"/>
  </cols>
  <sheetData>
    <row r="1" spans="1:5">
      <c r="A1" t="s">
        <v>201</v>
      </c>
      <c r="B1" t="s">
        <v>203</v>
      </c>
      <c r="C1" t="s">
        <v>196</v>
      </c>
      <c r="D1" t="s">
        <v>202</v>
      </c>
      <c r="E1" t="s">
        <v>200</v>
      </c>
    </row>
    <row r="2" spans="1:5">
      <c r="A2" t="s">
        <v>204</v>
      </c>
      <c r="B2" t="s">
        <v>203</v>
      </c>
      <c r="C2" t="s">
        <v>196</v>
      </c>
      <c r="D2" t="s">
        <v>205</v>
      </c>
      <c r="E2" t="s">
        <v>200</v>
      </c>
    </row>
    <row r="3" spans="1:5">
      <c r="A3" t="s">
        <v>207</v>
      </c>
      <c r="B3" t="s">
        <v>203</v>
      </c>
      <c r="C3" t="s">
        <v>196</v>
      </c>
      <c r="D3" t="s">
        <v>208</v>
      </c>
      <c r="E3" t="s">
        <v>206</v>
      </c>
    </row>
    <row r="4" spans="1:5">
      <c r="A4" t="s">
        <v>209</v>
      </c>
      <c r="B4" t="s">
        <v>203</v>
      </c>
      <c r="C4" t="s">
        <v>196</v>
      </c>
      <c r="D4" t="s">
        <v>210</v>
      </c>
      <c r="E4" t="s">
        <v>200</v>
      </c>
    </row>
    <row r="5" spans="1:5">
      <c r="A5" t="s">
        <v>211</v>
      </c>
      <c r="B5" t="s">
        <v>203</v>
      </c>
      <c r="C5" t="s">
        <v>196</v>
      </c>
      <c r="D5" t="s">
        <v>0</v>
      </c>
      <c r="E5" t="s">
        <v>206</v>
      </c>
    </row>
    <row r="6" spans="1:5">
      <c r="A6" t="s">
        <v>212</v>
      </c>
      <c r="B6" t="s">
        <v>203</v>
      </c>
      <c r="C6" t="s">
        <v>196</v>
      </c>
      <c r="D6" t="s">
        <v>1</v>
      </c>
      <c r="E6" t="s">
        <v>206</v>
      </c>
    </row>
    <row r="7" spans="1:5">
      <c r="A7" t="s">
        <v>213</v>
      </c>
      <c r="B7" t="s">
        <v>203</v>
      </c>
      <c r="C7" t="s">
        <v>196</v>
      </c>
      <c r="D7" t="s">
        <v>2</v>
      </c>
      <c r="E7" t="s">
        <v>206</v>
      </c>
    </row>
    <row r="8" spans="1:5">
      <c r="A8" t="s">
        <v>214</v>
      </c>
      <c r="B8" t="s">
        <v>203</v>
      </c>
      <c r="C8" t="s">
        <v>196</v>
      </c>
      <c r="D8" t="s">
        <v>215</v>
      </c>
      <c r="E8" t="s">
        <v>206</v>
      </c>
    </row>
    <row r="9" spans="1:5">
      <c r="A9" t="s">
        <v>216</v>
      </c>
      <c r="B9" t="s">
        <v>203</v>
      </c>
      <c r="C9" t="s">
        <v>196</v>
      </c>
      <c r="D9" t="s">
        <v>3</v>
      </c>
      <c r="E9" t="s">
        <v>206</v>
      </c>
    </row>
    <row r="10" spans="1:5">
      <c r="A10" t="s">
        <v>217</v>
      </c>
      <c r="B10" t="s">
        <v>203</v>
      </c>
      <c r="C10" t="s">
        <v>196</v>
      </c>
      <c r="D10" t="s">
        <v>218</v>
      </c>
      <c r="E10" t="s">
        <v>206</v>
      </c>
    </row>
    <row r="11" spans="1:5">
      <c r="A11" t="s">
        <v>23</v>
      </c>
      <c r="B11" t="s">
        <v>203</v>
      </c>
      <c r="C11" t="s">
        <v>196</v>
      </c>
      <c r="D11" t="s">
        <v>219</v>
      </c>
      <c r="E11" t="s">
        <v>206</v>
      </c>
    </row>
    <row r="12" spans="1:5">
      <c r="A12" t="s">
        <v>24</v>
      </c>
      <c r="B12" t="s">
        <v>203</v>
      </c>
      <c r="C12" t="s">
        <v>196</v>
      </c>
      <c r="D12" t="s">
        <v>25</v>
      </c>
      <c r="E12" t="s">
        <v>206</v>
      </c>
    </row>
    <row r="13" spans="1:5">
      <c r="A13" t="s">
        <v>237</v>
      </c>
      <c r="B13" t="s">
        <v>203</v>
      </c>
      <c r="C13" t="s">
        <v>196</v>
      </c>
      <c r="D13" t="s">
        <v>176</v>
      </c>
      <c r="E13" t="s">
        <v>206</v>
      </c>
    </row>
    <row r="14" spans="1:5">
      <c r="A14" t="s">
        <v>110</v>
      </c>
      <c r="B14" t="s">
        <v>203</v>
      </c>
      <c r="C14" t="s">
        <v>196</v>
      </c>
      <c r="D14" t="s">
        <v>111</v>
      </c>
      <c r="E14" t="s">
        <v>206</v>
      </c>
    </row>
    <row r="15" spans="1:5">
      <c r="A15" t="s">
        <v>26</v>
      </c>
      <c r="B15" t="s">
        <v>203</v>
      </c>
      <c r="C15" t="s">
        <v>196</v>
      </c>
      <c r="D15" t="s">
        <v>27</v>
      </c>
      <c r="E15" t="s">
        <v>206</v>
      </c>
    </row>
    <row r="16" spans="1:5">
      <c r="A16" t="s">
        <v>112</v>
      </c>
      <c r="B16" t="s">
        <v>203</v>
      </c>
      <c r="C16" t="s">
        <v>196</v>
      </c>
      <c r="D16" t="s">
        <v>113</v>
      </c>
      <c r="E16" t="s">
        <v>206</v>
      </c>
    </row>
    <row r="17" spans="1:5">
      <c r="A17" t="s">
        <v>28</v>
      </c>
      <c r="B17" t="s">
        <v>203</v>
      </c>
      <c r="C17" t="s">
        <v>196</v>
      </c>
      <c r="D17" t="s">
        <v>29</v>
      </c>
      <c r="E17" t="s">
        <v>206</v>
      </c>
    </row>
    <row r="18" spans="1:5">
      <c r="A18" t="s">
        <v>46</v>
      </c>
      <c r="B18" t="s">
        <v>203</v>
      </c>
      <c r="C18" t="s">
        <v>196</v>
      </c>
      <c r="D18" t="s">
        <v>47</v>
      </c>
      <c r="E18" t="s">
        <v>206</v>
      </c>
    </row>
    <row r="19" spans="1:5">
      <c r="A19" t="s">
        <v>48</v>
      </c>
      <c r="B19" t="s">
        <v>203</v>
      </c>
      <c r="C19" t="s">
        <v>196</v>
      </c>
      <c r="D19" t="s">
        <v>49</v>
      </c>
      <c r="E19" t="s">
        <v>206</v>
      </c>
    </row>
    <row r="20" spans="1:5">
      <c r="A20" t="s">
        <v>50</v>
      </c>
      <c r="B20" t="s">
        <v>203</v>
      </c>
      <c r="C20" t="s">
        <v>196</v>
      </c>
      <c r="D20" t="s">
        <v>51</v>
      </c>
      <c r="E20" t="s">
        <v>206</v>
      </c>
    </row>
    <row r="21" spans="1:5">
      <c r="A21" t="s">
        <v>59</v>
      </c>
      <c r="B21" t="s">
        <v>203</v>
      </c>
      <c r="C21" t="s">
        <v>196</v>
      </c>
      <c r="D21" t="s">
        <v>60</v>
      </c>
      <c r="E21" t="s">
        <v>206</v>
      </c>
    </row>
    <row r="22" spans="1:5">
      <c r="A22" t="s">
        <v>61</v>
      </c>
      <c r="B22" t="s">
        <v>203</v>
      </c>
      <c r="C22" t="s">
        <v>196</v>
      </c>
      <c r="D22" t="s">
        <v>62</v>
      </c>
      <c r="E22" t="s">
        <v>206</v>
      </c>
    </row>
    <row r="23" spans="1:5">
      <c r="A23" t="s">
        <v>63</v>
      </c>
      <c r="B23" t="s">
        <v>203</v>
      </c>
      <c r="C23" t="s">
        <v>196</v>
      </c>
      <c r="D23" t="s">
        <v>220</v>
      </c>
      <c r="E23" t="s">
        <v>206</v>
      </c>
    </row>
    <row r="24" spans="1:5">
      <c r="A24" t="s">
        <v>73</v>
      </c>
      <c r="B24" t="s">
        <v>203</v>
      </c>
      <c r="C24" t="s">
        <v>196</v>
      </c>
      <c r="D24" t="s">
        <v>74</v>
      </c>
      <c r="E24" t="s">
        <v>206</v>
      </c>
    </row>
    <row r="25" spans="1:5">
      <c r="A25" t="s">
        <v>80</v>
      </c>
      <c r="B25" t="s">
        <v>203</v>
      </c>
      <c r="C25" t="s">
        <v>196</v>
      </c>
      <c r="D25" t="s">
        <v>81</v>
      </c>
      <c r="E25" t="s">
        <v>206</v>
      </c>
    </row>
    <row r="26" spans="1:5">
      <c r="A26" t="s">
        <v>91</v>
      </c>
      <c r="B26" t="s">
        <v>203</v>
      </c>
      <c r="C26" t="s">
        <v>196</v>
      </c>
      <c r="D26" t="s">
        <v>92</v>
      </c>
      <c r="E26" t="s">
        <v>206</v>
      </c>
    </row>
    <row r="27" spans="1:5">
      <c r="A27" t="s">
        <v>97</v>
      </c>
      <c r="B27" t="s">
        <v>203</v>
      </c>
      <c r="C27" t="s">
        <v>196</v>
      </c>
      <c r="D27" t="s">
        <v>98</v>
      </c>
      <c r="E27" t="s">
        <v>206</v>
      </c>
    </row>
    <row r="28" spans="1:5">
      <c r="A28" t="s">
        <v>114</v>
      </c>
      <c r="B28" t="s">
        <v>203</v>
      </c>
      <c r="C28" t="s">
        <v>196</v>
      </c>
      <c r="D28" t="s">
        <v>119</v>
      </c>
      <c r="E28" t="s">
        <v>206</v>
      </c>
    </row>
    <row r="29" spans="1:5">
      <c r="A29" t="s">
        <v>99</v>
      </c>
      <c r="B29" t="s">
        <v>203</v>
      </c>
      <c r="C29" t="s">
        <v>196</v>
      </c>
      <c r="D29" t="s">
        <v>221</v>
      </c>
      <c r="E29" t="s">
        <v>206</v>
      </c>
    </row>
    <row r="30" spans="1:5">
      <c r="A30" t="s">
        <v>5</v>
      </c>
      <c r="B30" t="s">
        <v>203</v>
      </c>
      <c r="C30" t="s">
        <v>196</v>
      </c>
      <c r="D30" t="s">
        <v>222</v>
      </c>
      <c r="E30" t="s">
        <v>206</v>
      </c>
    </row>
    <row r="31" spans="1:5">
      <c r="A31" t="s">
        <v>9</v>
      </c>
      <c r="B31" t="s">
        <v>203</v>
      </c>
      <c r="C31" t="s">
        <v>196</v>
      </c>
      <c r="D31" t="s">
        <v>10</v>
      </c>
      <c r="E31" t="s">
        <v>206</v>
      </c>
    </row>
    <row r="32" spans="1:5">
      <c r="A32" t="s">
        <v>180</v>
      </c>
      <c r="B32" t="s">
        <v>203</v>
      </c>
      <c r="C32" t="s">
        <v>196</v>
      </c>
      <c r="D32" t="s">
        <v>179</v>
      </c>
      <c r="E32" t="s">
        <v>206</v>
      </c>
    </row>
    <row r="33" spans="1:5">
      <c r="A33" t="s">
        <v>238</v>
      </c>
      <c r="B33" t="s">
        <v>203</v>
      </c>
      <c r="C33" t="s">
        <v>196</v>
      </c>
      <c r="D33" t="s">
        <v>178</v>
      </c>
      <c r="E33" t="s">
        <v>206</v>
      </c>
    </row>
    <row r="34" spans="1:5">
      <c r="A34" t="s">
        <v>13</v>
      </c>
      <c r="B34" t="s">
        <v>203</v>
      </c>
      <c r="C34" t="s">
        <v>196</v>
      </c>
      <c r="D34" t="s">
        <v>14</v>
      </c>
      <c r="E34" t="s">
        <v>206</v>
      </c>
    </row>
    <row r="35" spans="1:5">
      <c r="A35" t="s">
        <v>19</v>
      </c>
      <c r="B35" t="s">
        <v>203</v>
      </c>
      <c r="C35" t="s">
        <v>196</v>
      </c>
      <c r="D35" t="s">
        <v>20</v>
      </c>
      <c r="E35" t="s">
        <v>206</v>
      </c>
    </row>
    <row r="36" spans="1:5">
      <c r="A36" t="s">
        <v>37</v>
      </c>
      <c r="B36" t="s">
        <v>203</v>
      </c>
      <c r="C36" t="s">
        <v>196</v>
      </c>
      <c r="D36" t="s">
        <v>38</v>
      </c>
      <c r="E36" t="s">
        <v>206</v>
      </c>
    </row>
    <row r="37" spans="1:5">
      <c r="A37" t="s">
        <v>40</v>
      </c>
      <c r="B37" t="s">
        <v>203</v>
      </c>
      <c r="C37" t="s">
        <v>196</v>
      </c>
      <c r="D37" t="s">
        <v>41</v>
      </c>
      <c r="E37" t="s">
        <v>206</v>
      </c>
    </row>
    <row r="38" spans="1:5">
      <c r="A38" t="s">
        <v>44</v>
      </c>
      <c r="B38" t="s">
        <v>203</v>
      </c>
      <c r="C38" t="s">
        <v>196</v>
      </c>
      <c r="D38" t="s">
        <v>45</v>
      </c>
      <c r="E38" t="s">
        <v>206</v>
      </c>
    </row>
    <row r="39" spans="1:5">
      <c r="A39" t="s">
        <v>53</v>
      </c>
      <c r="B39" t="s">
        <v>203</v>
      </c>
      <c r="C39" t="s">
        <v>196</v>
      </c>
      <c r="D39" t="s">
        <v>54</v>
      </c>
      <c r="E39" t="s">
        <v>206</v>
      </c>
    </row>
    <row r="40" spans="1:5">
      <c r="A40" t="s">
        <v>55</v>
      </c>
      <c r="B40" t="s">
        <v>203</v>
      </c>
      <c r="C40" t="s">
        <v>196</v>
      </c>
      <c r="D40" t="s">
        <v>56</v>
      </c>
      <c r="E40" t="s">
        <v>206</v>
      </c>
    </row>
    <row r="41" spans="1:5">
      <c r="A41" t="s">
        <v>115</v>
      </c>
      <c r="B41" t="s">
        <v>203</v>
      </c>
      <c r="C41" t="s">
        <v>196</v>
      </c>
      <c r="D41" t="s">
        <v>116</v>
      </c>
      <c r="E41" t="s">
        <v>206</v>
      </c>
    </row>
    <row r="42" spans="1:5">
      <c r="A42" t="s">
        <v>57</v>
      </c>
      <c r="B42" t="s">
        <v>203</v>
      </c>
      <c r="C42" t="s">
        <v>196</v>
      </c>
      <c r="D42" t="s">
        <v>58</v>
      </c>
      <c r="E42" t="s">
        <v>206</v>
      </c>
    </row>
    <row r="43" spans="1:5">
      <c r="A43" t="s">
        <v>65</v>
      </c>
      <c r="B43" t="s">
        <v>203</v>
      </c>
      <c r="C43" t="s">
        <v>196</v>
      </c>
      <c r="D43" t="s">
        <v>66</v>
      </c>
      <c r="E43" t="s">
        <v>206</v>
      </c>
    </row>
    <row r="44" spans="1:5">
      <c r="A44" t="s">
        <v>67</v>
      </c>
      <c r="B44" t="s">
        <v>203</v>
      </c>
      <c r="C44" t="s">
        <v>196</v>
      </c>
      <c r="D44" t="s">
        <v>68</v>
      </c>
      <c r="E44" t="s">
        <v>206</v>
      </c>
    </row>
    <row r="45" spans="1:5">
      <c r="A45" t="s">
        <v>71</v>
      </c>
      <c r="B45" t="s">
        <v>203</v>
      </c>
      <c r="C45" t="s">
        <v>196</v>
      </c>
      <c r="D45" t="s">
        <v>72</v>
      </c>
      <c r="E45" t="s">
        <v>206</v>
      </c>
    </row>
    <row r="46" spans="1:5">
      <c r="A46" t="s">
        <v>76</v>
      </c>
      <c r="B46" t="s">
        <v>203</v>
      </c>
      <c r="C46" t="s">
        <v>196</v>
      </c>
      <c r="D46" t="s">
        <v>77</v>
      </c>
      <c r="E46" t="s">
        <v>206</v>
      </c>
    </row>
    <row r="47" spans="1:5">
      <c r="A47" t="s">
        <v>78</v>
      </c>
      <c r="B47" t="s">
        <v>203</v>
      </c>
      <c r="C47" t="s">
        <v>196</v>
      </c>
      <c r="D47" t="s">
        <v>79</v>
      </c>
      <c r="E47" t="s">
        <v>206</v>
      </c>
    </row>
    <row r="48" spans="1:5">
      <c r="A48" t="s">
        <v>83</v>
      </c>
      <c r="B48" t="s">
        <v>203</v>
      </c>
      <c r="C48" t="s">
        <v>196</v>
      </c>
      <c r="D48" t="s">
        <v>84</v>
      </c>
      <c r="E48" t="s">
        <v>206</v>
      </c>
    </row>
    <row r="49" spans="1:5">
      <c r="A49" t="s">
        <v>87</v>
      </c>
      <c r="B49" t="s">
        <v>203</v>
      </c>
      <c r="C49" t="s">
        <v>196</v>
      </c>
      <c r="D49" t="s">
        <v>88</v>
      </c>
      <c r="E49" t="s">
        <v>206</v>
      </c>
    </row>
    <row r="50" spans="1:5">
      <c r="A50" t="s">
        <v>89</v>
      </c>
      <c r="B50" t="s">
        <v>203</v>
      </c>
      <c r="C50" t="s">
        <v>196</v>
      </c>
      <c r="D50" t="s">
        <v>90</v>
      </c>
      <c r="E50" t="s">
        <v>206</v>
      </c>
    </row>
    <row r="51" spans="1:5">
      <c r="A51" t="s">
        <v>93</v>
      </c>
      <c r="B51" t="s">
        <v>203</v>
      </c>
      <c r="C51" t="s">
        <v>196</v>
      </c>
      <c r="D51" t="s">
        <v>94</v>
      </c>
      <c r="E51" t="s">
        <v>206</v>
      </c>
    </row>
    <row r="52" spans="1:5">
      <c r="A52" t="s">
        <v>95</v>
      </c>
      <c r="B52" t="s">
        <v>203</v>
      </c>
      <c r="C52" t="s">
        <v>196</v>
      </c>
      <c r="D52" t="s">
        <v>96</v>
      </c>
      <c r="E52" t="s">
        <v>206</v>
      </c>
    </row>
    <row r="53" spans="1:5">
      <c r="A53" t="s">
        <v>4</v>
      </c>
      <c r="B53" t="s">
        <v>203</v>
      </c>
      <c r="C53" t="s">
        <v>196</v>
      </c>
      <c r="D53" t="s">
        <v>223</v>
      </c>
      <c r="E53" t="s">
        <v>206</v>
      </c>
    </row>
    <row r="54" spans="1:5">
      <c r="A54" t="s">
        <v>7</v>
      </c>
      <c r="B54" t="s">
        <v>203</v>
      </c>
      <c r="C54" t="s">
        <v>196</v>
      </c>
      <c r="D54" t="s">
        <v>224</v>
      </c>
      <c r="E54" t="s">
        <v>206</v>
      </c>
    </row>
    <row r="55" spans="1:5">
      <c r="A55" t="s">
        <v>8</v>
      </c>
      <c r="B55" t="s">
        <v>203</v>
      </c>
      <c r="C55" t="s">
        <v>196</v>
      </c>
      <c r="D55" t="s">
        <v>225</v>
      </c>
      <c r="E55" t="s">
        <v>206</v>
      </c>
    </row>
    <row r="56" spans="1:5">
      <c r="A56" t="s">
        <v>11</v>
      </c>
      <c r="B56" t="s">
        <v>203</v>
      </c>
      <c r="C56" t="s">
        <v>196</v>
      </c>
      <c r="D56" t="s">
        <v>12</v>
      </c>
      <c r="E56" t="s">
        <v>206</v>
      </c>
    </row>
    <row r="57" spans="1:5">
      <c r="A57" t="s">
        <v>15</v>
      </c>
      <c r="B57" t="s">
        <v>203</v>
      </c>
      <c r="C57" t="s">
        <v>196</v>
      </c>
      <c r="D57" t="s">
        <v>16</v>
      </c>
      <c r="E57" t="s">
        <v>206</v>
      </c>
    </row>
    <row r="58" spans="1:5">
      <c r="A58" t="s">
        <v>17</v>
      </c>
      <c r="B58" t="s">
        <v>203</v>
      </c>
      <c r="C58" t="s">
        <v>196</v>
      </c>
      <c r="D58" t="s">
        <v>18</v>
      </c>
      <c r="E58" t="s">
        <v>206</v>
      </c>
    </row>
    <row r="59" spans="1:5">
      <c r="A59" t="s">
        <v>21</v>
      </c>
      <c r="B59" t="s">
        <v>203</v>
      </c>
      <c r="C59" t="s">
        <v>196</v>
      </c>
      <c r="D59" t="s">
        <v>22</v>
      </c>
      <c r="E59" t="s">
        <v>206</v>
      </c>
    </row>
    <row r="60" spans="1:5">
      <c r="A60" t="s">
        <v>35</v>
      </c>
      <c r="B60" t="s">
        <v>203</v>
      </c>
      <c r="C60" t="s">
        <v>196</v>
      </c>
      <c r="D60" t="s">
        <v>36</v>
      </c>
      <c r="E60" t="s">
        <v>206</v>
      </c>
    </row>
    <row r="61" spans="1:5">
      <c r="A61" t="s">
        <v>42</v>
      </c>
      <c r="B61" t="s">
        <v>203</v>
      </c>
      <c r="C61" t="s">
        <v>196</v>
      </c>
      <c r="D61" t="s">
        <v>43</v>
      </c>
      <c r="E61" t="s">
        <v>206</v>
      </c>
    </row>
    <row r="62" spans="1:5">
      <c r="A62" t="s">
        <v>69</v>
      </c>
      <c r="B62" t="s">
        <v>203</v>
      </c>
      <c r="C62" t="s">
        <v>196</v>
      </c>
      <c r="D62" t="s">
        <v>70</v>
      </c>
      <c r="E62" t="s">
        <v>206</v>
      </c>
    </row>
    <row r="63" spans="1:5">
      <c r="A63" t="s">
        <v>117</v>
      </c>
      <c r="B63" t="s">
        <v>203</v>
      </c>
      <c r="C63" t="s">
        <v>196</v>
      </c>
      <c r="D63" t="s">
        <v>118</v>
      </c>
      <c r="E63" t="s">
        <v>206</v>
      </c>
    </row>
    <row r="64" spans="1:5">
      <c r="A64" t="s">
        <v>85</v>
      </c>
      <c r="B64" t="s">
        <v>203</v>
      </c>
      <c r="C64" t="s">
        <v>196</v>
      </c>
      <c r="D64" t="s">
        <v>86</v>
      </c>
      <c r="E64" t="s">
        <v>206</v>
      </c>
    </row>
    <row r="65" spans="1:5">
      <c r="A65" t="s">
        <v>31</v>
      </c>
      <c r="B65" t="s">
        <v>203</v>
      </c>
      <c r="C65" t="s">
        <v>196</v>
      </c>
      <c r="D65" t="s">
        <v>32</v>
      </c>
      <c r="E65" t="s">
        <v>206</v>
      </c>
    </row>
    <row r="66" spans="1:5">
      <c r="A66" t="s">
        <v>33</v>
      </c>
      <c r="B66" t="s">
        <v>203</v>
      </c>
      <c r="C66" t="s">
        <v>196</v>
      </c>
      <c r="D66" t="s">
        <v>227</v>
      </c>
      <c r="E66" t="s">
        <v>226</v>
      </c>
    </row>
    <row r="67" spans="1:5">
      <c r="A67" t="s">
        <v>34</v>
      </c>
      <c r="B67" t="s">
        <v>203</v>
      </c>
      <c r="C67" t="s">
        <v>196</v>
      </c>
      <c r="D67" t="s">
        <v>228</v>
      </c>
      <c r="E67" t="s">
        <v>226</v>
      </c>
    </row>
    <row r="68" spans="1:5">
      <c r="A68" t="s">
        <v>52</v>
      </c>
      <c r="B68" t="s">
        <v>203</v>
      </c>
      <c r="C68" t="s">
        <v>196</v>
      </c>
      <c r="D68" t="s">
        <v>229</v>
      </c>
      <c r="E68" t="s">
        <v>226</v>
      </c>
    </row>
    <row r="69" spans="1:5">
      <c r="A69" t="s">
        <v>64</v>
      </c>
      <c r="B69" t="s">
        <v>203</v>
      </c>
      <c r="C69" t="s">
        <v>196</v>
      </c>
      <c r="D69" t="s">
        <v>230</v>
      </c>
      <c r="E69" t="s">
        <v>226</v>
      </c>
    </row>
    <row r="70" spans="1:5">
      <c r="A70" t="s">
        <v>75</v>
      </c>
      <c r="B70" t="s">
        <v>203</v>
      </c>
      <c r="C70" t="s">
        <v>196</v>
      </c>
      <c r="D70" t="s">
        <v>231</v>
      </c>
      <c r="E70" t="s">
        <v>226</v>
      </c>
    </row>
    <row r="71" spans="1:5">
      <c r="A71" t="s">
        <v>82</v>
      </c>
      <c r="B71" t="s">
        <v>203</v>
      </c>
      <c r="C71" t="s">
        <v>196</v>
      </c>
      <c r="D71" t="s">
        <v>232</v>
      </c>
      <c r="E71" t="s">
        <v>226</v>
      </c>
    </row>
    <row r="72" spans="1:5">
      <c r="A72" t="s">
        <v>6</v>
      </c>
      <c r="B72" t="s">
        <v>203</v>
      </c>
      <c r="C72" t="s">
        <v>196</v>
      </c>
      <c r="D72" t="s">
        <v>233</v>
      </c>
      <c r="E72" t="s">
        <v>226</v>
      </c>
    </row>
    <row r="73" spans="1:5">
      <c r="A73" t="s">
        <v>39</v>
      </c>
      <c r="B73" t="s">
        <v>203</v>
      </c>
      <c r="C73" t="s">
        <v>196</v>
      </c>
      <c r="D73" t="s">
        <v>234</v>
      </c>
      <c r="E73" t="s">
        <v>226</v>
      </c>
    </row>
    <row r="78" spans="1:5">
      <c r="A78" t="s">
        <v>149</v>
      </c>
      <c r="B78" t="s">
        <v>241</v>
      </c>
      <c r="C78" t="s">
        <v>196</v>
      </c>
      <c r="D78" t="s">
        <v>240</v>
      </c>
      <c r="E78" t="s">
        <v>239</v>
      </c>
    </row>
    <row r="79" spans="1:5">
      <c r="A79" t="s">
        <v>133</v>
      </c>
      <c r="B79" t="s">
        <v>241</v>
      </c>
      <c r="C79" t="s">
        <v>196</v>
      </c>
      <c r="D79" t="s">
        <v>242</v>
      </c>
      <c r="E79" t="s">
        <v>239</v>
      </c>
    </row>
    <row r="80" spans="1:5">
      <c r="A80" t="s">
        <v>139</v>
      </c>
      <c r="B80" t="s">
        <v>241</v>
      </c>
      <c r="C80" t="s">
        <v>196</v>
      </c>
      <c r="D80" t="s">
        <v>243</v>
      </c>
      <c r="E80" t="s">
        <v>239</v>
      </c>
    </row>
    <row r="81" spans="1:5">
      <c r="A81" t="s">
        <v>140</v>
      </c>
      <c r="B81" t="s">
        <v>241</v>
      </c>
      <c r="C81" t="s">
        <v>196</v>
      </c>
      <c r="D81" t="s">
        <v>244</v>
      </c>
      <c r="E81" t="s">
        <v>239</v>
      </c>
    </row>
    <row r="82" spans="1:5">
      <c r="A82" t="s">
        <v>143</v>
      </c>
      <c r="B82" t="s">
        <v>241</v>
      </c>
      <c r="C82" t="s">
        <v>196</v>
      </c>
      <c r="D82" t="s">
        <v>245</v>
      </c>
      <c r="E82" t="s">
        <v>239</v>
      </c>
    </row>
    <row r="83" spans="1:5">
      <c r="A83" t="s">
        <v>246</v>
      </c>
      <c r="B83" t="s">
        <v>241</v>
      </c>
      <c r="C83" t="s">
        <v>196</v>
      </c>
      <c r="D83" t="s">
        <v>247</v>
      </c>
      <c r="E83" t="s">
        <v>239</v>
      </c>
    </row>
    <row r="84" spans="1:5">
      <c r="A84" t="s">
        <v>248</v>
      </c>
      <c r="B84" t="s">
        <v>241</v>
      </c>
      <c r="C84" t="s">
        <v>196</v>
      </c>
      <c r="D84" t="s">
        <v>249</v>
      </c>
      <c r="E84" t="s">
        <v>239</v>
      </c>
    </row>
    <row r="85" spans="1:5">
      <c r="A85" t="s">
        <v>138</v>
      </c>
      <c r="B85" t="s">
        <v>241</v>
      </c>
      <c r="C85" t="s">
        <v>196</v>
      </c>
      <c r="D85" t="s">
        <v>250</v>
      </c>
      <c r="E85" t="s">
        <v>239</v>
      </c>
    </row>
    <row r="86" spans="1:5">
      <c r="A86" t="s">
        <v>145</v>
      </c>
      <c r="B86" t="s">
        <v>241</v>
      </c>
      <c r="C86" t="s">
        <v>196</v>
      </c>
      <c r="D86" t="s">
        <v>251</v>
      </c>
      <c r="E86" t="s">
        <v>239</v>
      </c>
    </row>
    <row r="87" spans="1:5">
      <c r="A87" t="s">
        <v>147</v>
      </c>
      <c r="B87" t="s">
        <v>241</v>
      </c>
      <c r="C87" t="s">
        <v>196</v>
      </c>
      <c r="D87" t="s">
        <v>252</v>
      </c>
      <c r="E87" t="s">
        <v>239</v>
      </c>
    </row>
    <row r="88" spans="1:5">
      <c r="A88" t="s">
        <v>142</v>
      </c>
      <c r="B88" t="s">
        <v>241</v>
      </c>
      <c r="C88" t="s">
        <v>196</v>
      </c>
      <c r="D88" t="s">
        <v>254</v>
      </c>
      <c r="E88" t="s">
        <v>253</v>
      </c>
    </row>
    <row r="89" spans="1:5">
      <c r="A89" t="s">
        <v>255</v>
      </c>
      <c r="B89" t="s">
        <v>241</v>
      </c>
      <c r="C89" t="s">
        <v>196</v>
      </c>
      <c r="D89" t="s">
        <v>256</v>
      </c>
      <c r="E89" t="s">
        <v>239</v>
      </c>
    </row>
    <row r="90" spans="1:5">
      <c r="A90" t="s">
        <v>148</v>
      </c>
      <c r="B90" t="s">
        <v>241</v>
      </c>
      <c r="C90" t="s">
        <v>196</v>
      </c>
      <c r="D90" t="s">
        <v>257</v>
      </c>
      <c r="E90" t="s">
        <v>239</v>
      </c>
    </row>
    <row r="91" spans="1:5">
      <c r="A91" t="s">
        <v>150</v>
      </c>
      <c r="B91" t="s">
        <v>241</v>
      </c>
      <c r="C91" t="s">
        <v>196</v>
      </c>
      <c r="D91" t="s">
        <v>258</v>
      </c>
      <c r="E91" t="s">
        <v>239</v>
      </c>
    </row>
    <row r="92" spans="1:5">
      <c r="A92" t="s">
        <v>135</v>
      </c>
      <c r="B92" t="s">
        <v>241</v>
      </c>
      <c r="C92" t="s">
        <v>196</v>
      </c>
      <c r="D92" t="s">
        <v>259</v>
      </c>
      <c r="E92" t="s">
        <v>239</v>
      </c>
    </row>
    <row r="93" spans="1:5">
      <c r="A93" t="s">
        <v>141</v>
      </c>
      <c r="B93" t="s">
        <v>241</v>
      </c>
      <c r="C93" t="s">
        <v>196</v>
      </c>
      <c r="D93" t="s">
        <v>260</v>
      </c>
      <c r="E93" t="s">
        <v>239</v>
      </c>
    </row>
    <row r="94" spans="1:5">
      <c r="A94" t="s">
        <v>136</v>
      </c>
      <c r="B94" t="s">
        <v>241</v>
      </c>
      <c r="C94" t="s">
        <v>196</v>
      </c>
      <c r="D94" t="s">
        <v>261</v>
      </c>
      <c r="E94" t="s">
        <v>239</v>
      </c>
    </row>
    <row r="95" spans="1:5">
      <c r="A95" t="s">
        <v>299</v>
      </c>
      <c r="B95" t="s">
        <v>300</v>
      </c>
      <c r="C95" t="s">
        <v>196</v>
      </c>
      <c r="D95" t="s">
        <v>301</v>
      </c>
      <c r="E95" t="s">
        <v>269</v>
      </c>
    </row>
    <row r="96" spans="1:5">
      <c r="A96" t="s">
        <v>144</v>
      </c>
      <c r="B96" t="s">
        <v>241</v>
      </c>
      <c r="C96" t="s">
        <v>196</v>
      </c>
      <c r="D96" t="s">
        <v>262</v>
      </c>
      <c r="E96" t="s">
        <v>239</v>
      </c>
    </row>
    <row r="97" spans="1:5">
      <c r="A97" t="s">
        <v>273</v>
      </c>
      <c r="B97" t="s">
        <v>265</v>
      </c>
      <c r="C97" t="s">
        <v>196</v>
      </c>
      <c r="D97" t="s">
        <v>264</v>
      </c>
      <c r="E97" t="s">
        <v>263</v>
      </c>
    </row>
    <row r="98" spans="1:5">
      <c r="A98" t="s">
        <v>134</v>
      </c>
      <c r="B98" t="s">
        <v>268</v>
      </c>
      <c r="C98" t="s">
        <v>196</v>
      </c>
      <c r="D98" t="s">
        <v>267</v>
      </c>
      <c r="E98" t="s">
        <v>266</v>
      </c>
    </row>
    <row r="99" spans="1:5">
      <c r="A99" t="s">
        <v>146</v>
      </c>
      <c r="B99" t="s">
        <v>293</v>
      </c>
      <c r="C99" t="s">
        <v>196</v>
      </c>
      <c r="D99" t="s">
        <v>292</v>
      </c>
      <c r="E99" t="s">
        <v>266</v>
      </c>
    </row>
    <row r="100" spans="1:5">
      <c r="A100" t="s">
        <v>151</v>
      </c>
      <c r="B100" t="s">
        <v>271</v>
      </c>
      <c r="C100" t="s">
        <v>196</v>
      </c>
      <c r="D100" t="s">
        <v>270</v>
      </c>
      <c r="E100" t="s">
        <v>269</v>
      </c>
    </row>
    <row r="104" spans="1:5">
      <c r="A104" t="s">
        <v>136</v>
      </c>
      <c r="B104" t="s">
        <v>296</v>
      </c>
      <c r="C104" t="s">
        <v>196</v>
      </c>
      <c r="D104" t="s">
        <v>294</v>
      </c>
      <c r="E104" t="s">
        <v>279</v>
      </c>
    </row>
    <row r="105" spans="1:5">
      <c r="A105" t="s">
        <v>151</v>
      </c>
      <c r="B105" t="s">
        <v>295</v>
      </c>
      <c r="C105" t="s">
        <v>196</v>
      </c>
      <c r="D105" t="s">
        <v>297</v>
      </c>
      <c r="E105" t="s">
        <v>298</v>
      </c>
    </row>
    <row r="106" spans="1:5">
      <c r="A106" t="s">
        <v>152</v>
      </c>
      <c r="B106" t="s">
        <v>282</v>
      </c>
      <c r="C106" t="s">
        <v>196</v>
      </c>
      <c r="D106" t="s">
        <v>281</v>
      </c>
      <c r="E106" t="s">
        <v>279</v>
      </c>
    </row>
    <row r="107" spans="1:5">
      <c r="A107" t="s">
        <v>137</v>
      </c>
      <c r="B107" t="s">
        <v>284</v>
      </c>
      <c r="C107" t="s">
        <v>196</v>
      </c>
      <c r="D107" t="s">
        <v>283</v>
      </c>
      <c r="E107" t="s">
        <v>280</v>
      </c>
    </row>
    <row r="108" spans="1:5">
      <c r="A108" t="s">
        <v>274</v>
      </c>
      <c r="B108" t="s">
        <v>307</v>
      </c>
      <c r="C108" t="s">
        <v>196</v>
      </c>
      <c r="D108" t="s">
        <v>306</v>
      </c>
      <c r="E108" t="s">
        <v>280</v>
      </c>
    </row>
    <row r="109" spans="1:5">
      <c r="A109" t="s">
        <v>275</v>
      </c>
      <c r="B109" t="s">
        <v>286</v>
      </c>
      <c r="C109" t="s">
        <v>196</v>
      </c>
      <c r="D109" t="s">
        <v>285</v>
      </c>
      <c r="E109" t="s">
        <v>280</v>
      </c>
    </row>
    <row r="110" spans="1:5">
      <c r="A110" t="s">
        <v>276</v>
      </c>
      <c r="B110" t="s">
        <v>288</v>
      </c>
      <c r="C110" t="s">
        <v>196</v>
      </c>
      <c r="D110" t="s">
        <v>287</v>
      </c>
      <c r="E110" t="s">
        <v>280</v>
      </c>
    </row>
    <row r="114" spans="1:5">
      <c r="A114" s="1" t="s">
        <v>164</v>
      </c>
      <c r="B114" s="1" t="s">
        <v>334</v>
      </c>
      <c r="C114" s="1" t="s">
        <v>332</v>
      </c>
      <c r="D114" s="25" t="s">
        <v>164</v>
      </c>
      <c r="E114" s="1" t="s">
        <v>308</v>
      </c>
    </row>
    <row r="115" spans="1:5">
      <c r="A115" t="s">
        <v>165</v>
      </c>
      <c r="B115" t="s">
        <v>333</v>
      </c>
      <c r="C115" s="1" t="s">
        <v>332</v>
      </c>
      <c r="D115" t="s">
        <v>165</v>
      </c>
      <c r="E115" t="s">
        <v>308</v>
      </c>
    </row>
    <row r="116" spans="1:5">
      <c r="A116" t="s">
        <v>166</v>
      </c>
      <c r="B116" t="s">
        <v>333</v>
      </c>
      <c r="C116" s="1" t="s">
        <v>332</v>
      </c>
      <c r="D116" t="s">
        <v>166</v>
      </c>
      <c r="E116" t="s">
        <v>308</v>
      </c>
    </row>
    <row r="117" spans="1:5">
      <c r="A117" s="1" t="s">
        <v>156</v>
      </c>
      <c r="B117" s="1" t="s">
        <v>335</v>
      </c>
      <c r="C117" s="1" t="s">
        <v>332</v>
      </c>
      <c r="D117" s="25" t="s">
        <v>156</v>
      </c>
      <c r="E117" s="1" t="s">
        <v>309</v>
      </c>
    </row>
    <row r="118" spans="1:5">
      <c r="A118" s="1" t="s">
        <v>155</v>
      </c>
      <c r="B118" s="1" t="s">
        <v>336</v>
      </c>
      <c r="C118" s="1" t="s">
        <v>332</v>
      </c>
      <c r="D118" s="1" t="s">
        <v>155</v>
      </c>
      <c r="E118" s="1" t="s">
        <v>309</v>
      </c>
    </row>
    <row r="119" spans="1:5">
      <c r="A119" t="s">
        <v>154</v>
      </c>
      <c r="B119" t="s">
        <v>348</v>
      </c>
      <c r="C119" s="1" t="s">
        <v>332</v>
      </c>
      <c r="D119" s="26" t="s">
        <v>154</v>
      </c>
      <c r="E119" t="s">
        <v>310</v>
      </c>
    </row>
    <row r="120" spans="1:5">
      <c r="A120" t="s">
        <v>132</v>
      </c>
      <c r="B120" t="s">
        <v>337</v>
      </c>
      <c r="C120" t="s">
        <v>196</v>
      </c>
      <c r="D120" t="s">
        <v>311</v>
      </c>
      <c r="E120" t="s">
        <v>309</v>
      </c>
    </row>
    <row r="121" spans="1:5">
      <c r="A121" t="s">
        <v>131</v>
      </c>
      <c r="B121" t="s">
        <v>338</v>
      </c>
      <c r="C121" t="s">
        <v>196</v>
      </c>
      <c r="D121" t="s">
        <v>197</v>
      </c>
      <c r="E121" t="s">
        <v>312</v>
      </c>
    </row>
    <row r="122" spans="1:5">
      <c r="A122" t="s">
        <v>353</v>
      </c>
      <c r="B122" t="s">
        <v>199</v>
      </c>
      <c r="C122" t="s">
        <v>196</v>
      </c>
      <c r="D122" t="s">
        <v>198</v>
      </c>
      <c r="E122" t="s">
        <v>313</v>
      </c>
    </row>
    <row r="123" spans="1:5">
      <c r="A123" t="s">
        <v>161</v>
      </c>
      <c r="B123" t="s">
        <v>354</v>
      </c>
      <c r="C123" t="s">
        <v>196</v>
      </c>
      <c r="D123" t="s">
        <v>314</v>
      </c>
      <c r="E123" t="s">
        <v>309</v>
      </c>
    </row>
    <row r="124" spans="1:5">
      <c r="A124" t="s">
        <v>160</v>
      </c>
      <c r="B124" t="s">
        <v>339</v>
      </c>
      <c r="C124" t="s">
        <v>196</v>
      </c>
      <c r="D124" t="s">
        <v>315</v>
      </c>
      <c r="E124" t="s">
        <v>309</v>
      </c>
    </row>
    <row r="125" spans="1:5">
      <c r="A125" t="s">
        <v>163</v>
      </c>
      <c r="B125" t="s">
        <v>341</v>
      </c>
      <c r="C125" t="s">
        <v>196</v>
      </c>
      <c r="D125" t="s">
        <v>340</v>
      </c>
      <c r="E125" t="s">
        <v>309</v>
      </c>
    </row>
    <row r="126" spans="1:5">
      <c r="A126" t="s">
        <v>316</v>
      </c>
      <c r="B126" t="s">
        <v>342</v>
      </c>
      <c r="C126" t="s">
        <v>196</v>
      </c>
      <c r="D126" s="26" t="s">
        <v>317</v>
      </c>
      <c r="E126" t="s">
        <v>309</v>
      </c>
    </row>
    <row r="127" spans="1:5">
      <c r="A127" t="s">
        <v>157</v>
      </c>
      <c r="B127" t="s">
        <v>343</v>
      </c>
      <c r="C127" t="s">
        <v>196</v>
      </c>
      <c r="D127" t="s">
        <v>318</v>
      </c>
      <c r="E127" t="s">
        <v>309</v>
      </c>
    </row>
    <row r="128" spans="1:5">
      <c r="A128" t="s">
        <v>158</v>
      </c>
      <c r="B128" t="s">
        <v>342</v>
      </c>
      <c r="C128" t="s">
        <v>196</v>
      </c>
      <c r="D128" t="s">
        <v>319</v>
      </c>
      <c r="E128" t="s">
        <v>309</v>
      </c>
    </row>
    <row r="129" spans="1:5">
      <c r="A129" t="s">
        <v>181</v>
      </c>
      <c r="B129" t="s">
        <v>342</v>
      </c>
      <c r="C129" t="s">
        <v>196</v>
      </c>
      <c r="D129" t="s">
        <v>355</v>
      </c>
      <c r="E129" s="1" t="s">
        <v>320</v>
      </c>
    </row>
    <row r="130" spans="1:5">
      <c r="A130" s="1" t="s">
        <v>168</v>
      </c>
      <c r="B130" s="1" t="s">
        <v>344</v>
      </c>
      <c r="C130" s="1" t="s">
        <v>196</v>
      </c>
      <c r="D130" s="25" t="s">
        <v>321</v>
      </c>
      <c r="E130" s="1" t="s">
        <v>320</v>
      </c>
    </row>
    <row r="131" spans="1:5">
      <c r="A131" s="1" t="s">
        <v>159</v>
      </c>
      <c r="B131" s="1" t="s">
        <v>345</v>
      </c>
      <c r="C131" s="1" t="s">
        <v>196</v>
      </c>
      <c r="D131" s="25" t="s">
        <v>322</v>
      </c>
      <c r="E131" s="1" t="s">
        <v>320</v>
      </c>
    </row>
    <row r="132" spans="1:5">
      <c r="A132" s="1" t="s">
        <v>167</v>
      </c>
      <c r="B132" s="1" t="s">
        <v>346</v>
      </c>
      <c r="C132" s="1" t="s">
        <v>196</v>
      </c>
      <c r="D132" s="25" t="s">
        <v>323</v>
      </c>
      <c r="E132" s="1" t="s">
        <v>320</v>
      </c>
    </row>
    <row r="133" spans="1:5">
      <c r="A133" t="s">
        <v>162</v>
      </c>
      <c r="B133" t="s">
        <v>347</v>
      </c>
      <c r="C133" t="s">
        <v>196</v>
      </c>
      <c r="D133" t="s">
        <v>325</v>
      </c>
      <c r="E133" t="s">
        <v>324</v>
      </c>
    </row>
    <row r="134" spans="1:5">
      <c r="A134" t="s">
        <v>326</v>
      </c>
      <c r="B134" t="s">
        <v>347</v>
      </c>
      <c r="C134" t="s">
        <v>196</v>
      </c>
      <c r="D134" t="s">
        <v>327</v>
      </c>
      <c r="E134" t="s">
        <v>324</v>
      </c>
    </row>
    <row r="135" spans="1:5">
      <c r="A135" t="s">
        <v>182</v>
      </c>
      <c r="B135" t="s">
        <v>349</v>
      </c>
      <c r="C135" t="s">
        <v>196</v>
      </c>
      <c r="D135" s="25" t="s">
        <v>328</v>
      </c>
      <c r="E135" t="s">
        <v>324</v>
      </c>
    </row>
    <row r="136" spans="1:5">
      <c r="A136" t="s">
        <v>183</v>
      </c>
      <c r="B136" t="s">
        <v>350</v>
      </c>
      <c r="C136" t="s">
        <v>196</v>
      </c>
      <c r="D136" t="s">
        <v>329</v>
      </c>
      <c r="E136" t="s">
        <v>324</v>
      </c>
    </row>
    <row r="137" spans="1:5">
      <c r="A137" t="s">
        <v>367</v>
      </c>
      <c r="B137" t="s">
        <v>368</v>
      </c>
      <c r="C137" t="s">
        <v>196</v>
      </c>
      <c r="D137" t="s">
        <v>366</v>
      </c>
      <c r="E137" t="s">
        <v>365</v>
      </c>
    </row>
    <row r="138" spans="1:5">
      <c r="A138" t="s">
        <v>170</v>
      </c>
      <c r="B138" t="s">
        <v>351</v>
      </c>
      <c r="C138" t="s">
        <v>196</v>
      </c>
      <c r="D138" s="27" t="s">
        <v>330</v>
      </c>
      <c r="E138" t="s">
        <v>324</v>
      </c>
    </row>
    <row r="139" spans="1:5">
      <c r="A139" t="s">
        <v>169</v>
      </c>
      <c r="B139" t="s">
        <v>352</v>
      </c>
      <c r="C139" t="s">
        <v>196</v>
      </c>
      <c r="D139" t="s">
        <v>331</v>
      </c>
      <c r="E139" t="s">
        <v>324</v>
      </c>
    </row>
    <row r="142" spans="1:5">
      <c r="A142" t="s">
        <v>361</v>
      </c>
      <c r="B142" t="s">
        <v>363</v>
      </c>
      <c r="C142" t="s">
        <v>196</v>
      </c>
      <c r="D142" t="s">
        <v>359</v>
      </c>
      <c r="E142" t="s">
        <v>358</v>
      </c>
    </row>
    <row r="143" spans="1:5">
      <c r="A143" t="s">
        <v>362</v>
      </c>
      <c r="B143" s="29" t="s">
        <v>364</v>
      </c>
      <c r="C143" t="s">
        <v>196</v>
      </c>
      <c r="D143" t="s">
        <v>360</v>
      </c>
      <c r="E143" t="s">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Howto</vt:lpstr>
      <vt:lpstr>TTSH_V3</vt:lpstr>
      <vt:lpstr>Part_list</vt:lpstr>
      <vt:lpstr>misc</vt:lpstr>
      <vt:lpstr>npcaps</vt:lpstr>
      <vt:lpstr>pcaps</vt:lpstr>
      <vt:lpstr>resistors</vt:lpstr>
      <vt:lpstr>semis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Tony</cp:lastModifiedBy>
  <cp:lastPrinted>2017-02-17T23:14:03Z</cp:lastPrinted>
  <dcterms:created xsi:type="dcterms:W3CDTF">2015-02-22T16:56:18Z</dcterms:created>
  <dcterms:modified xsi:type="dcterms:W3CDTF">2017-02-19T13:47:51Z</dcterms:modified>
</cp:coreProperties>
</file>