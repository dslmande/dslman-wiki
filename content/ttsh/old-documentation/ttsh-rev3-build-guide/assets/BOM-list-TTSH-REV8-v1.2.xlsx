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/>
  <bookViews>
    <workbookView xWindow="5745" yWindow="120" windowWidth="15960" windowHeight="15930" activeTab="3"/>
  </bookViews>
  <sheets>
    <sheet name="info" sheetId="6" r:id="rId1"/>
    <sheet name="Resistors" sheetId="1" r:id="rId2"/>
    <sheet name="Capacitors" sheetId="2" r:id="rId3"/>
    <sheet name="Semis" sheetId="3" r:id="rId4"/>
    <sheet name="mechanical parts" sheetId="4" r:id="rId5"/>
    <sheet name="others" sheetId="5" r:id="rId6"/>
    <sheet name="Tabelle1" sheetId="7" r:id="rId7"/>
  </sheets>
  <definedNames>
    <definedName name="_xlnm.Print_Area" localSheetId="0">info!$A$1:$M$36</definedName>
    <definedName name="_xlnm.Print_Area" localSheetId="1">Resistors!$B:$N</definedName>
  </definedNames>
  <calcPr calcId="145621" iterateDelta="1E-4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9" i="7" l="1"/>
  <c r="C28" i="4"/>
  <c r="C31" i="3"/>
  <c r="D31" i="2"/>
  <c r="C102" i="1"/>
</calcChain>
</file>

<file path=xl/sharedStrings.xml><?xml version="1.0" encoding="utf-8"?>
<sst xmlns="http://schemas.openxmlformats.org/spreadsheetml/2006/main" count="1146" uniqueCount="496">
  <si>
    <t>Qty</t>
  </si>
  <si>
    <t>Value</t>
  </si>
  <si>
    <t>Device</t>
  </si>
  <si>
    <t>Package</t>
  </si>
  <si>
    <t>Parts</t>
  </si>
  <si>
    <t>Description</t>
  </si>
  <si>
    <t>MF</t>
  </si>
  <si>
    <t>MPN</t>
  </si>
  <si>
    <t>OC_FARNELL</t>
  </si>
  <si>
    <t>OC_NEWARK</t>
  </si>
  <si>
    <t>TP_SIGNAL_NAME</t>
  </si>
  <si>
    <t>3362P</t>
  </si>
  <si>
    <t>R153</t>
  </si>
  <si>
    <t>3362 Series</t>
  </si>
  <si>
    <t>100k</t>
  </si>
  <si>
    <t>2-1-R115, 2-1-R125, R52, R68, R87, R129, R162, R164, R193, R196, R385, T18</t>
  </si>
  <si>
    <t>10k</t>
  </si>
  <si>
    <t>2-1-R121-2, 2-1-R128, LED-P1, R163, R194, R195</t>
  </si>
  <si>
    <t>250k</t>
  </si>
  <si>
    <t>R35</t>
  </si>
  <si>
    <t>R60, R78, R97</t>
  </si>
  <si>
    <t>50k</t>
  </si>
  <si>
    <t>R33, R34</t>
  </si>
  <si>
    <t>3386-W</t>
  </si>
  <si>
    <t>3386W</t>
  </si>
  <si>
    <t>TR1, TR2</t>
  </si>
  <si>
    <t>3386 Series</t>
  </si>
  <si>
    <t>MTA02-100</t>
  </si>
  <si>
    <t>10X02MTA</t>
  </si>
  <si>
    <t>J1, J4, J5, LEFT, RIGHT</t>
  </si>
  <si>
    <t>AMP connector</t>
  </si>
  <si>
    <t>MTA02-156</t>
  </si>
  <si>
    <t>1X2MTA</t>
  </si>
  <si>
    <t>J3</t>
  </si>
  <si>
    <t>MTA05-156</t>
  </si>
  <si>
    <t>1X5MTA</t>
  </si>
  <si>
    <t>J2, J6</t>
  </si>
  <si>
    <t>100k AUD</t>
  </si>
  <si>
    <t>PTL45</t>
  </si>
  <si>
    <t>PTL</t>
  </si>
  <si>
    <t>R140, R141, R142, R143, R144, R185, R186, R200, R201, R300, R302, R315</t>
  </si>
  <si>
    <t>BOURNS PTL45</t>
  </si>
  <si>
    <t>100k LIN</t>
  </si>
  <si>
    <t>R2, R29, R31, R41, R42, R61, R62, R63, R64, R66, R70, R79, R80, R81, R82, R83, R85, R92, R99, R102, R103, R146, R147, R156, R158, R160, R187, R188, R198, R210, R212, R213, R301, R303, R304, R309, R313, R314</t>
  </si>
  <si>
    <t>1M AUD</t>
  </si>
  <si>
    <t>R174, R175, R179, R180, R181, R182, R312</t>
  </si>
  <si>
    <t>100n</t>
  </si>
  <si>
    <t>C-EU050-025X075</t>
  </si>
  <si>
    <t>C050-025X075</t>
  </si>
  <si>
    <t>C1, C24, C85-2, C94, VCF-C8, VCF-C9</t>
  </si>
  <si>
    <t>CAPACITOR, European symbol</t>
  </si>
  <si>
    <t>C-EUC0805</t>
  </si>
  <si>
    <t>C0805</t>
  </si>
  <si>
    <t>C60, C61, C73, C74, C98, C105</t>
  </si>
  <si>
    <t>100p</t>
  </si>
  <si>
    <t>2-1-C53, 2-1-C56, C80, C90, C111, C112, RM-C9, VCA-C5, VCA-C6</t>
  </si>
  <si>
    <t>10n</t>
  </si>
  <si>
    <t>ADSR-C4, C9, C26, C27, C30, C39, C44, C56, C59, C65, C72, C77, C88, C89, C96, C116, C118, NOISE-C2, VCF-C1, VCF-C2, VCF-C3, VCF-C4</t>
  </si>
  <si>
    <t>10p</t>
  </si>
  <si>
    <t>C83, C84, C86, C87, C95, C96-5.1, C98-5.2, C105R, C106L, C106R, C108, RM-C5, VCA-C4, VCF-C7</t>
  </si>
  <si>
    <t>12p</t>
  </si>
  <si>
    <t>RM-C1</t>
  </si>
  <si>
    <t>15n</t>
  </si>
  <si>
    <t>C25, C41, C42</t>
  </si>
  <si>
    <t>1n</t>
  </si>
  <si>
    <t>ADSR-C5, C11, C110, C113, C119, C120</t>
  </si>
  <si>
    <t>C-EU075-042X103</t>
  </si>
  <si>
    <t>C075-042X103</t>
  </si>
  <si>
    <t>20p</t>
  </si>
  <si>
    <t>4015-C3, 4015-C5, 4015-C6, C2, C4, C5, C96-5.3, C99-2, C100, C101, C103, C104, C128L, C130, C218R</t>
  </si>
  <si>
    <t>220n</t>
  </si>
  <si>
    <t>C52, C53</t>
  </si>
  <si>
    <t>220p</t>
  </si>
  <si>
    <t>RM-C2, VCA-C7</t>
  </si>
  <si>
    <t>22n</t>
  </si>
  <si>
    <t>2n</t>
  </si>
  <si>
    <t>C10, C86-2, C92-5.1</t>
  </si>
  <si>
    <t>30p</t>
  </si>
  <si>
    <t>2-1-C50, 4015-C4, 4015-C7, C3, C6, C40, C46, C66, C81, C91, C93, C96-5.2, C98-2, C98-5.1, C100-2, C102, VCA-C3</t>
  </si>
  <si>
    <t>330p</t>
  </si>
  <si>
    <t>ADSR-C3, C8?, C12</t>
  </si>
  <si>
    <t>3n3</t>
  </si>
  <si>
    <t>NOISE-C3</t>
  </si>
  <si>
    <t>3p3</t>
  </si>
  <si>
    <t>C33, C43</t>
  </si>
  <si>
    <t>4n7</t>
  </si>
  <si>
    <t>C22, C23, C28, C29, C48, C49, C50, C51</t>
  </si>
  <si>
    <t>50p</t>
  </si>
  <si>
    <t>C15, C17, C62, C67, C82, C85, C92, C93-5.1, C97, C99, RM-C3, RM-C4, RM-C6, VCF-C5, VCF-C6, VCF-C10</t>
  </si>
  <si>
    <t>5p</t>
  </si>
  <si>
    <t>C16, C55, C64, C76</t>
  </si>
  <si>
    <t>680p</t>
  </si>
  <si>
    <t>C54, C63, C75</t>
  </si>
  <si>
    <t>C107L, C107R</t>
  </si>
  <si>
    <t>1N4148</t>
  </si>
  <si>
    <t>D-2.5</t>
  </si>
  <si>
    <t>D1</t>
  </si>
  <si>
    <t>1N4148DO35-7</t>
  </si>
  <si>
    <t>DO35-7</t>
  </si>
  <si>
    <t>2-1-CR14, 4015-CR1, 4015-CR2, 4015-CR3, 4015-CR6, ADSR-CR1, ADSR-CR2, ADSR-CR3, ADSR-CR4, ADSR-CR5, ADSR-CR6, ADSR-CR7, ADSR-CR8, CR1, CR2, CR7, CR21, CR22, CR23, CR24, CR25, CR40, CR41, CR45R, CR46R, CR47, CR48, CR49, CR50, D2, D3, D4, D5, RM-CR1, RM-CR2, RM-CR3, RM-CR4, RM-CR5, RM-CR6, VCA-CR1, VCA-CR2, VCA-CR3, VCA-CR4, VCA-CR5, VCA-CR6, VCA-CR7, VCA-CR8, VCA-CR9, VCA-CR10, VCF-CR1, VCF-CR2, VCF-CR3, VCF-CR4</t>
  </si>
  <si>
    <t>Female Cinch CONNECTOR ( RCA Jack )</t>
  </si>
  <si>
    <t>FARNELL</t>
  </si>
  <si>
    <t>TOBU 3</t>
  </si>
  <si>
    <t>06WX5914</t>
  </si>
  <si>
    <t>100µH</t>
  </si>
  <si>
    <t>L-US6000-XXX-RC</t>
  </si>
  <si>
    <t>6000-XXXX-RC</t>
  </si>
  <si>
    <t>L1, L3</t>
  </si>
  <si>
    <t>LED5MM</t>
  </si>
  <si>
    <t>ON-LED</t>
  </si>
  <si>
    <t>2N4392</t>
  </si>
  <si>
    <t>TO18</t>
  </si>
  <si>
    <t>4015-Q4, ADSR-Q3, Q2, Q3</t>
  </si>
  <si>
    <t>MJE182TO126V</t>
  </si>
  <si>
    <t>TO126V</t>
  </si>
  <si>
    <t>Q30L, Q30R</t>
  </si>
  <si>
    <t>2N3904</t>
  </si>
  <si>
    <t>TO92</t>
  </si>
  <si>
    <t>Q6, Q19, Q29, Q34, Q43, RM-Q4, RM-Q5, RM-Q6, RM-Q7, RM-Q8, RM-Q11, VCA-Q2, VCA-Q11, VCA-Q12, VCA-Q13, VCF-Q1, VCF-Q2, VCF-Q5, VCF-Q6, VCF-Q7, VCF-Q8, VCF-Q9, VCF-Q10, VCF-Q11, VCF-Q12, VCF-Q13, VCF-Q14, VCF-Q15, VCF-Q16</t>
  </si>
  <si>
    <t>BC337</t>
  </si>
  <si>
    <t>T1, T2, T3, T4, T5, T6, T7, T8</t>
  </si>
  <si>
    <t>CA3046</t>
  </si>
  <si>
    <t>DIL14</t>
  </si>
  <si>
    <t>IC8, IC9, IC10</t>
  </si>
  <si>
    <t>LM1458N</t>
  </si>
  <si>
    <t>DIL08</t>
  </si>
  <si>
    <t>IC5</t>
  </si>
  <si>
    <t>LM301</t>
  </si>
  <si>
    <t>LM301H</t>
  </si>
  <si>
    <t>2-1-A14, 2-1-A15, 2-1-A16, 2-1-A17, 4015-A1, 4015-A2, A1, A2, A3, A4, A20, A25, A26, A27, A28, A29, A30, A31, A35, A36, A37, A38, A39, A42, ADSR-A1, IC1, IC2, NOISE-Z1, RM-A1, RM-A2, VCA-A1, VCF-A1, Z8, Z9</t>
  </si>
  <si>
    <t>LM3900N</t>
  </si>
  <si>
    <t>IC4</t>
  </si>
  <si>
    <t>TL071</t>
  </si>
  <si>
    <t>TL071P</t>
  </si>
  <si>
    <t>IC3</t>
  </si>
  <si>
    <t>MA06-1</t>
  </si>
  <si>
    <t>SV1, SV2, SV3, SV4, SV5, SV6, SV7, SV8, SV9</t>
  </si>
  <si>
    <t>PINHD-1X2</t>
  </si>
  <si>
    <t>1X02</t>
  </si>
  <si>
    <t>JP1, JP2, JP4, JP5, JP7, JP8, JP23, JP24, JP26, JP27, JP29, JP30</t>
  </si>
  <si>
    <t>PINHD-1X3</t>
  </si>
  <si>
    <t>1X03</t>
  </si>
  <si>
    <t>JP3, JP6, JP9, JP25, JP28, JP31</t>
  </si>
  <si>
    <t>PINHD-2X3</t>
  </si>
  <si>
    <t>2X03</t>
  </si>
  <si>
    <t>JP10, JP11, JP12, JP13, JP14, JP15, JP16, JP17, JP18, JP19, JP20, JP21, JP22</t>
  </si>
  <si>
    <t>MJE172</t>
  </si>
  <si>
    <t>Q32L, Q32R</t>
  </si>
  <si>
    <t>2N3906</t>
  </si>
  <si>
    <t>2-1-Q1, ADSR-Q1, ADSR-Q5, ADSR-Q6, Q1, Q15, Q16, Q18, Q20, Q21, Q22, Q28, Q33, Q42, RM-Q1, RM-Q2, RM-Q3, RM-Q9, RM-Q10, RM-Q12, VCA-Q1, VCA-Q6, VCA-Q7, VCA-Q9, VCA-Q10, VCF-Q4, VCF-Q18, VCF-Q19, VCF-Q20</t>
  </si>
  <si>
    <t>2N5087</t>
  </si>
  <si>
    <t>Q4, Q7, Q8, Q9, Q10, Q11, Q12, Q13</t>
  </si>
  <si>
    <t>BC558B</t>
  </si>
  <si>
    <t>VCF-Q3</t>
  </si>
  <si>
    <t>TO92-EBC</t>
  </si>
  <si>
    <t>4015-Q2, 4015-Q5, Q14, Q26, Q44, VCA-Q3, VCA-Q4, VCA-Q8</t>
  </si>
  <si>
    <t>CPOL-EUE2.5-5</t>
  </si>
  <si>
    <t>E2,5-5</t>
  </si>
  <si>
    <t>C8</t>
  </si>
  <si>
    <t>10µ</t>
  </si>
  <si>
    <t>C13, C14, C18, C19, C20, C21, C31, C32, C34, C35, C37, C38, C57, C58, C68, C70, C71, C78, C79, TDA-C11, TDA-C12</t>
  </si>
  <si>
    <t>1µ</t>
  </si>
  <si>
    <t>ADSR-C1, ADSR-C2, C7, C69, NOISE-C1, TDA-C1, TDA-C2, TDA-C3, TDA-C4, TDA-C5, TDA-C6, TDA-C7, TDA-C8, TDA-C9, TDA-C10, TDA-C13, TDA-C14, TDA-C16, TDA-C20, TDA-C21, TDA-C22, TDA-C23, TDA-C24, TDA-C25, TDA-C26, TDA-C27, TDA-C28, TDA-C29, TDA-C30, TDA-C31, TDA-C34, TDA-C35</t>
  </si>
  <si>
    <t>1µ5</t>
  </si>
  <si>
    <t>C115</t>
  </si>
  <si>
    <t>47µ</t>
  </si>
  <si>
    <t>C36, C45, C47</t>
  </si>
  <si>
    <t>R-EU_0207/10</t>
  </si>
  <si>
    <t>0207/10</t>
  </si>
  <si>
    <t>R72, R345L, R345R, R346L, R346R, R828</t>
  </si>
  <si>
    <t>RESISTOR, European symbol</t>
  </si>
  <si>
    <t>4015-R6, 4015-R7</t>
  </si>
  <si>
    <t>R-EU_0204/2V</t>
  </si>
  <si>
    <t>0204V</t>
  </si>
  <si>
    <t>R383</t>
  </si>
  <si>
    <t>R28, R216, R281</t>
  </si>
  <si>
    <t>ADSR-R10</t>
  </si>
  <si>
    <t>LED-R17, R10, R11, R76, R93, R115, R116, R126, R127</t>
  </si>
  <si>
    <t>LED-R3, LED-R4, LED-R5, LED-R6, LED-R7, LED-R8, R139, R243, R294, R349L, R349R, R351, RM-R3, RM-R13, VCA-R17, VCA-R21, VCF-R11</t>
  </si>
  <si>
    <t>R229, R230</t>
  </si>
  <si>
    <t>4015-R10</t>
  </si>
  <si>
    <t>RM-R14</t>
  </si>
  <si>
    <t>R279, VCA-R7, VCF-R1, VCF-R2, VCF-R3, VCF-R20, VCF-R21, VCF-R31</t>
  </si>
  <si>
    <t>LEDR, RM-R4, RM-R7</t>
  </si>
  <si>
    <t>R205, R207, VCF-R5</t>
  </si>
  <si>
    <t>4015-R8, 4015-R21, 4015-R22, ADSR-R14, ADSR-R21, LED-R19, LED-R20, NOISE-R1, R3, R6, R7, R8, R9, R20, R24, R40, R57, R98, R134, R135, R145, R148, R149, R150, R151, R152, R154, R155, R189, R190, R191, R202, R203, R222, R223, R236, R255, R256, R271, R272, R273, R285, R290, R292, R305, R306, R307, R308, R310, R311, R316, R334, R337, R341L, R341R, R342, R359, R369, VCA-R11, VCF-R14, VCF-R18, VCF-R19</t>
  </si>
  <si>
    <t>4015-R14, R218, R219</t>
  </si>
  <si>
    <t>4015-R9, 4015-R12, ADSR-R8, LED-R15, R19, R26, R120, R176, R184, R214, R220, R275, R347, R375, R389, VCF-R32</t>
  </si>
  <si>
    <t>10M</t>
  </si>
  <si>
    <t>R17</t>
  </si>
  <si>
    <t>120k</t>
  </si>
  <si>
    <t>ADSR-R20, R38, R77</t>
  </si>
  <si>
    <t>121k</t>
  </si>
  <si>
    <t>2-1-R111, R233, R263, R338</t>
  </si>
  <si>
    <t>12k</t>
  </si>
  <si>
    <t>ADSR-R23, LED-R2, R239, R248, R280, R322, R345, R356</t>
  </si>
  <si>
    <t>12k1</t>
  </si>
  <si>
    <t>R4, R74, R113, R121, R131, R132, R133</t>
  </si>
  <si>
    <t>13k</t>
  </si>
  <si>
    <t>R215, R221, R224</t>
  </si>
  <si>
    <t>150k</t>
  </si>
  <si>
    <t>R22, R43, R65, R84, R159, R161, R197, R366, R368</t>
  </si>
  <si>
    <t>15k</t>
  </si>
  <si>
    <t>4015-R13</t>
  </si>
  <si>
    <t>2-1-R121, ADSR-R5, R111, R119, R254, R318, R320, R333, R367, R394, VCF-R22, VCF-R23, VCF-R33</t>
  </si>
  <si>
    <t>180k</t>
  </si>
  <si>
    <t>2-1-R134, ADSR-R4, ADSR-R22, R262, R269, RM-R16, VCA-R12</t>
  </si>
  <si>
    <t>182k</t>
  </si>
  <si>
    <t>VCA-R3</t>
  </si>
  <si>
    <t>18k</t>
  </si>
  <si>
    <t>R32, RM-R8, RM-R11, RM-R12, VCA-R13</t>
  </si>
  <si>
    <t>196k</t>
  </si>
  <si>
    <t>2-1-R110, R166, VCF-R17</t>
  </si>
  <si>
    <t>1k</t>
  </si>
  <si>
    <t>2-1-R116, 4015-R16, ADSR-R12, R18, R25, R27, R36, R49, R50, R69, R104, R106, R108, R110, R117, R171, R178, R199, R208, R225, R234, R245, R252, R264, R274, R295, R297, R325, R330, R339, R348, R353, R381, R386, R395, VCA-R5, VCA-R16, VCA-R20, VCF-R16</t>
  </si>
  <si>
    <t>1k2</t>
  </si>
  <si>
    <t>R204, R206</t>
  </si>
  <si>
    <t>1k3</t>
  </si>
  <si>
    <t>R169</t>
  </si>
  <si>
    <t>1k37</t>
  </si>
  <si>
    <t>R247, R299, R355</t>
  </si>
  <si>
    <t>1k5</t>
  </si>
  <si>
    <t>R382</t>
  </si>
  <si>
    <t>ADSR-R24, NOISE-R5, R240, R282, R346</t>
  </si>
  <si>
    <t>1k65</t>
  </si>
  <si>
    <t>R244, R296, R352</t>
  </si>
  <si>
    <t>1k8</t>
  </si>
  <si>
    <t>R21, R96, VCF-R4</t>
  </si>
  <si>
    <t>1k87*</t>
  </si>
  <si>
    <t>R165, R235, R270, R341</t>
  </si>
  <si>
    <t>R-EU_0309/10</t>
  </si>
  <si>
    <t>0309/10</t>
  </si>
  <si>
    <t>VCF-R30</t>
  </si>
  <si>
    <t>1M</t>
  </si>
  <si>
    <t>ADSR-R6, ADSR-R9, LED-R21, R15, R88, R340, RM-R10</t>
  </si>
  <si>
    <t>1M2</t>
  </si>
  <si>
    <t>ADSR-R3</t>
  </si>
  <si>
    <t>1M5</t>
  </si>
  <si>
    <t>R16, RM-R5, RM-R6, VCA-R6</t>
  </si>
  <si>
    <t>220k</t>
  </si>
  <si>
    <t>R53, R54, R58, R71, R94, R100, R105, R107, R109, R167, R260, R265, R267, R268, R276, R344L, R344R, VCA-R2, VCF-R15</t>
  </si>
  <si>
    <t>22K</t>
  </si>
  <si>
    <t>R372, R373, R374</t>
  </si>
  <si>
    <t>22k</t>
  </si>
  <si>
    <t>ADSR-R2</t>
  </si>
  <si>
    <t>2-1-R135, 4015-R3, R177, R287, R321, R376</t>
  </si>
  <si>
    <t>22M</t>
  </si>
  <si>
    <t>R73, R112, R118, R130, R357, R363, R370, R371</t>
  </si>
  <si>
    <t>23k2</t>
  </si>
  <si>
    <t>VCF-R13</t>
  </si>
  <si>
    <t>270k</t>
  </si>
  <si>
    <t>ADSR-R1, R14, R137, R326</t>
  </si>
  <si>
    <t>27k</t>
  </si>
  <si>
    <t>R13, R226, R227, RM-R15</t>
  </si>
  <si>
    <t>2k2</t>
  </si>
  <si>
    <t>R5, R75, R114, R125</t>
  </si>
  <si>
    <t>2-1-R113, 2-1-R132, 2-1-R133, R138, R170, VCF-R12</t>
  </si>
  <si>
    <t>2k4</t>
  </si>
  <si>
    <t>R228, R231</t>
  </si>
  <si>
    <t>2k7</t>
  </si>
  <si>
    <t>R12</t>
  </si>
  <si>
    <t>2M2</t>
  </si>
  <si>
    <t>R288, R289</t>
  </si>
  <si>
    <t>30k1</t>
  </si>
  <si>
    <t>2-1-R126, 4015-R2, 4015-R17, R90, R122, R123, R241, R284, R349, VCF-R24, VCF-R25, VCF-R26, VCF-R27</t>
  </si>
  <si>
    <t>33k</t>
  </si>
  <si>
    <t>2-1-R109, 2-1-R112, 4015-R11, ADSR-R7, R46, R47, R209, R211, VCA-R8</t>
  </si>
  <si>
    <t>33k2</t>
  </si>
  <si>
    <t>R251, R329, R380</t>
  </si>
  <si>
    <t>39k</t>
  </si>
  <si>
    <t>2-1-R114, ADSR-R16, R37, R168</t>
  </si>
  <si>
    <t>3k3</t>
  </si>
  <si>
    <t>LED-R1, VCA-R4</t>
  </si>
  <si>
    <t>3k32</t>
  </si>
  <si>
    <t>VCF-R6, VCF-R7, VCF-R8, VCF-R9</t>
  </si>
  <si>
    <t>3k9</t>
  </si>
  <si>
    <t>2-1-R118, NOISE-R6, R51, R89, R173, R242, R286, R350, R388</t>
  </si>
  <si>
    <t>3M3</t>
  </si>
  <si>
    <t>R44, R67, R86, R157, R257, R335, R358, R365, R396</t>
  </si>
  <si>
    <t>40k2</t>
  </si>
  <si>
    <t>ADSR-R11</t>
  </si>
  <si>
    <t>45k3</t>
  </si>
  <si>
    <t>R91, R253, R332, R393</t>
  </si>
  <si>
    <t>470k</t>
  </si>
  <si>
    <t>ADSR-R18, R55, R59, R101, R283, R291, R293, R361, R362</t>
  </si>
  <si>
    <t>475k</t>
  </si>
  <si>
    <t>R232, R259, R336</t>
  </si>
  <si>
    <t>47k</t>
  </si>
  <si>
    <t>LED-R18</t>
  </si>
  <si>
    <t>LED-R9, LED-R10, LED-R11, LED-R12, LED-R13, LED-R14, LED-R16, R30, R249, R258, R323, R331, R377, R384, R390, R391, R392, VCA-R9</t>
  </si>
  <si>
    <t>4k7</t>
  </si>
  <si>
    <t>4015-R15</t>
  </si>
  <si>
    <t>ADSR-R15, R217, R379, R387, RM-R1, RM-R2, VCA-R15, VCA-R19, VCA-R23</t>
  </si>
  <si>
    <t>4M7</t>
  </si>
  <si>
    <t>NOISE-R3, NOISE-R4</t>
  </si>
  <si>
    <t>54k9</t>
  </si>
  <si>
    <t>R192</t>
  </si>
  <si>
    <t>56k</t>
  </si>
  <si>
    <t>R136, VCA-R24, VCA-R26, VCF-R10</t>
  </si>
  <si>
    <t>5k36</t>
  </si>
  <si>
    <t>R317, R319</t>
  </si>
  <si>
    <t>5M6</t>
  </si>
  <si>
    <t>R327, R328</t>
  </si>
  <si>
    <t>61k9</t>
  </si>
  <si>
    <t>4015-R1, 4015-R18, R237, R238, R277, R278, R343, R344</t>
  </si>
  <si>
    <t>680k</t>
  </si>
  <si>
    <t>VCA-R18</t>
  </si>
  <si>
    <t>68k</t>
  </si>
  <si>
    <t>ADSR-R17, ADSR-R19, R124, R128, R250, R261, R266, R324, R378</t>
  </si>
  <si>
    <t>68k1</t>
  </si>
  <si>
    <t>ADSR-R13</t>
  </si>
  <si>
    <t>6k8</t>
  </si>
  <si>
    <t>R45, R172</t>
  </si>
  <si>
    <t>82k</t>
  </si>
  <si>
    <t>R1, R360, R364, RM-R18</t>
  </si>
  <si>
    <t>84k5</t>
  </si>
  <si>
    <t>R39, R56, R95</t>
  </si>
  <si>
    <t>8k2</t>
  </si>
  <si>
    <t>R48</t>
  </si>
  <si>
    <t>8k87</t>
  </si>
  <si>
    <t>R246, R298, R354</t>
  </si>
  <si>
    <t>9k1</t>
  </si>
  <si>
    <t>R183</t>
  </si>
  <si>
    <t>TPB2,54</t>
  </si>
  <si>
    <t>B2,54</t>
  </si>
  <si>
    <t>TP1, TP2</t>
  </si>
  <si>
    <t>Test pad</t>
  </si>
  <si>
    <t>2N4870</t>
  </si>
  <si>
    <t>TO92E</t>
  </si>
  <si>
    <t>Q45</t>
  </si>
  <si>
    <t>PTC10V</t>
  </si>
  <si>
    <t>U$1</t>
  </si>
  <si>
    <t>100k LOG</t>
  </si>
  <si>
    <t>ALPS_RK09K11310KA</t>
  </si>
  <si>
    <t>RK09K11310KA</t>
  </si>
  <si>
    <t>R23</t>
  </si>
  <si>
    <t>2N3954</t>
  </si>
  <si>
    <t>TO71</t>
  </si>
  <si>
    <t>Q17</t>
  </si>
  <si>
    <t>2N3958</t>
  </si>
  <si>
    <t>4015-Q7, VCF-Q17</t>
  </si>
  <si>
    <t>2N4125</t>
  </si>
  <si>
    <t>TO92@1</t>
  </si>
  <si>
    <t>Q30, Q35, Q46</t>
  </si>
  <si>
    <t>2N5172</t>
  </si>
  <si>
    <t>2-1-Q2, 4015-Q1, 4015-Q3, 4015-Q6, ADSR-Q2, ADSR-Q7, ADSR-Q8, NOISE-Q1, Q25, Q27, Q34L, Q34R, Q36, Q37, Q38, Q39, VCA-Q5</t>
  </si>
  <si>
    <t>2N5459</t>
  </si>
  <si>
    <t>Q23, Q24, Q31, Q32, Q40, Q41</t>
  </si>
  <si>
    <t>2N5460</t>
  </si>
  <si>
    <t>ADSR-Q4, Q5</t>
  </si>
  <si>
    <t>46206LRX-PINHEADER</t>
  </si>
  <si>
    <t>U$2, U$3, U$4, U$5, U$6, U$11, U$12, U$13, U$14, U$15</t>
  </si>
  <si>
    <t>46300R-PINHEADER</t>
  </si>
  <si>
    <t>S1, U$16</t>
  </si>
  <si>
    <t>FB15</t>
  </si>
  <si>
    <t>U$7</t>
  </si>
  <si>
    <t>LM2991</t>
  </si>
  <si>
    <t>TO263-5</t>
  </si>
  <si>
    <t>IC6</t>
  </si>
  <si>
    <t>SPM15</t>
  </si>
  <si>
    <t>DC1, DC2</t>
  </si>
  <si>
    <t>TL1963A</t>
  </si>
  <si>
    <t>IC7</t>
  </si>
  <si>
    <t>301B</t>
  </si>
  <si>
    <t>E1, E2, E3, E4, E5, E6, E7, E8, E9, E10, E11, E12, E13, E14, E15, E16, E17, E18, E19, E20, E21, E22, E23, E24, E25, E26, E27, E28, E29, E30, E31, E32, E33, E34, E35, E36, E37, E38, E39, E40, E41, E42, E43, E45, E46, E47, E48, E49, E50, E51, E52, E53, E54, E55, E56, E57, E58, E59, E60, E61, E63, E64, E65, E70, E71, E72, E73, E74, E75, E76, E77, E78, E79, E80, E81, E82, E83, E84, E85, E86, E87</t>
  </si>
  <si>
    <t>Section</t>
  </si>
  <si>
    <t>Powersupply</t>
  </si>
  <si>
    <t>VCO</t>
  </si>
  <si>
    <t>ADSR</t>
  </si>
  <si>
    <t>VCF Clock</t>
  </si>
  <si>
    <t>VCF 4072</t>
  </si>
  <si>
    <t>Clock</t>
  </si>
  <si>
    <t>Amplifier</t>
  </si>
  <si>
    <t>Voltage proc/LAG</t>
  </si>
  <si>
    <t>VCA</t>
  </si>
  <si>
    <t>PSU</t>
  </si>
  <si>
    <t>Electrolyte</t>
  </si>
  <si>
    <t>C0G preferred</t>
  </si>
  <si>
    <t>MLCC c0g</t>
  </si>
  <si>
    <t>PSU and Filter 4072</t>
  </si>
  <si>
    <t>VCOs</t>
  </si>
  <si>
    <t>C0G, styrene, Polypropylene</t>
  </si>
  <si>
    <t>polyester 100nf</t>
  </si>
  <si>
    <t>µ1 (100nF)</t>
  </si>
  <si>
    <t>4015-C8 C90-5.1</t>
  </si>
  <si>
    <t>SMT 0805 mlcc</t>
  </si>
  <si>
    <t>Rimgmod/Preamp</t>
  </si>
  <si>
    <t>MLCC c0g or Film</t>
  </si>
  <si>
    <t>Choke</t>
  </si>
  <si>
    <t>polypropylene 7,5mm</t>
  </si>
  <si>
    <t>IC- Socket milled 8pin</t>
  </si>
  <si>
    <t>IC- Socket milled 14Pin</t>
  </si>
  <si>
    <t>quantity</t>
  </si>
  <si>
    <t>Pinheader</t>
  </si>
  <si>
    <t>Connector</t>
  </si>
  <si>
    <t>Gatebooster connector power</t>
  </si>
  <si>
    <t>MTA03-100</t>
  </si>
  <si>
    <t>for gatbooster</t>
  </si>
  <si>
    <t>10X03MTA</t>
  </si>
  <si>
    <t>JACK 3,5mm</t>
  </si>
  <si>
    <t>Power Cable</t>
  </si>
  <si>
    <t>RCA/Chinch cable</t>
  </si>
  <si>
    <t>Speaker</t>
  </si>
  <si>
    <t>2m</t>
  </si>
  <si>
    <t>Speaker cable</t>
  </si>
  <si>
    <t>2-3m</t>
  </si>
  <si>
    <t>1mm²</t>
  </si>
  <si>
    <t>0,5mm²</t>
  </si>
  <si>
    <t xml:space="preserve">double isolated </t>
  </si>
  <si>
    <t>Visaton SC8 or Peerless</t>
  </si>
  <si>
    <t>washer and nuts</t>
  </si>
  <si>
    <t>Spacer 10mm  M3</t>
  </si>
  <si>
    <t>Spacer 25mm</t>
  </si>
  <si>
    <t>PSU Stand</t>
  </si>
  <si>
    <t>Frontpanel</t>
  </si>
  <si>
    <t>Filter Stand</t>
  </si>
  <si>
    <t>Spacer 12mm M3 (no bolt)</t>
  </si>
  <si>
    <t>black Frontpanel Screws M3x 6mm</t>
  </si>
  <si>
    <t>M3 x 8mm Screws for Speaker</t>
  </si>
  <si>
    <t>M3 x 6mm Screws for spacer</t>
  </si>
  <si>
    <t>6 pol female for Filter</t>
  </si>
  <si>
    <t>Fader/slider</t>
  </si>
  <si>
    <t>Pot</t>
  </si>
  <si>
    <t>Trimmer Filter</t>
  </si>
  <si>
    <t>Tempco</t>
  </si>
  <si>
    <t>Info</t>
  </si>
  <si>
    <t>DC-DC converter</t>
  </si>
  <si>
    <t>quantitiy</t>
  </si>
  <si>
    <t>typ</t>
  </si>
  <si>
    <t>spec</t>
  </si>
  <si>
    <t>more</t>
  </si>
  <si>
    <t>value</t>
  </si>
  <si>
    <t>Tempco VCF</t>
  </si>
  <si>
    <t>Trimmer</t>
  </si>
  <si>
    <t>25k *note*</t>
  </si>
  <si>
    <t>*note = use multiturn from rear for better calibration</t>
  </si>
  <si>
    <t>Trimmer PSU</t>
  </si>
  <si>
    <t>DC Powersupply 24V/1A DC (preferred, 12V - 24V works) middle pin is + (5,5mm/2,1mm size)</t>
  </si>
  <si>
    <t>part</t>
  </si>
  <si>
    <t>note</t>
  </si>
  <si>
    <t xml:space="preserve">reverb </t>
  </si>
  <si>
    <t>https://www.banzaimusic.com/Belton-RBL2AB3C1B.html</t>
  </si>
  <si>
    <t>633-CWT12AAS1</t>
  </si>
  <si>
    <t>frontpanel switch (Power Switch)</t>
  </si>
  <si>
    <t>DC Jack</t>
  </si>
  <si>
    <t>502-722A</t>
  </si>
  <si>
    <t>SPM15-150-Q12P-C</t>
  </si>
  <si>
    <t>orange or red</t>
  </si>
  <si>
    <t>frontpanel</t>
  </si>
  <si>
    <t>Author</t>
  </si>
  <si>
    <t>Date</t>
  </si>
  <si>
    <t>Versionnumber</t>
  </si>
  <si>
    <t>changes</t>
  </si>
  <si>
    <t>released on DSL-man.de</t>
  </si>
  <si>
    <t>1.0</t>
  </si>
  <si>
    <t>DSL-man</t>
  </si>
  <si>
    <t>x</t>
  </si>
  <si>
    <t>shared on muffs</t>
  </si>
  <si>
    <t>Versioninfo (min,maj,change)</t>
  </si>
  <si>
    <t>major initial</t>
  </si>
  <si>
    <t>more Changes needed</t>
  </si>
  <si>
    <t>(please use the Tabs at bottom)</t>
  </si>
  <si>
    <t>http://www.mouser.com/ProjectManager/ProjectDetail.aspx?AccessID=6CEDD31990</t>
  </si>
  <si>
    <t>Mouserlist from DSL-man (LED-man on muffwiggler.com)</t>
  </si>
  <si>
    <t>for Navigation:</t>
  </si>
  <si>
    <t xml:space="preserve">TTSH rev.8 pcb </t>
  </si>
  <si>
    <t>Bill of Material list</t>
  </si>
  <si>
    <t>Resistor</t>
  </si>
  <si>
    <t>qty</t>
  </si>
  <si>
    <t>type</t>
  </si>
  <si>
    <t>partnumbers, excel format and filter</t>
  </si>
  <si>
    <t>open Todo`s</t>
  </si>
  <si>
    <t>RCA connectors for pcb (check mouserlist)</t>
  </si>
  <si>
    <t xml:space="preserve">Slider quantity </t>
  </si>
  <si>
    <t>check quantitys</t>
  </si>
  <si>
    <t>minor</t>
  </si>
  <si>
    <t>1.1</t>
  </si>
  <si>
    <t>1.2</t>
  </si>
  <si>
    <t>approved reverb connector</t>
  </si>
  <si>
    <t>1x  490-RCJ-022 (red) +  1x 490-RCJ-023 (white)</t>
  </si>
  <si>
    <t>approved</t>
  </si>
  <si>
    <t>250 (500R is fine too)</t>
  </si>
  <si>
    <t>MJE182</t>
  </si>
  <si>
    <t>approved section added</t>
  </si>
  <si>
    <t>SUM</t>
  </si>
  <si>
    <t>SUMME</t>
  </si>
  <si>
    <t>Summe</t>
  </si>
  <si>
    <t>Total parts sum</t>
  </si>
  <si>
    <t>solder points</t>
  </si>
  <si>
    <t>35*8</t>
  </si>
  <si>
    <t>120*3</t>
  </si>
  <si>
    <t>567*2</t>
  </si>
  <si>
    <t>205*2</t>
  </si>
  <si>
    <t>3*6</t>
  </si>
  <si>
    <t>2*5</t>
  </si>
  <si>
    <t>81*4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</si>
</sst>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color indexed="8"/>
      <name val="Helvetica"/>
    </font>
    <font>
      <b/>
      <sz val="10"/>
      <color indexed="8"/>
      <name val="Helvetica"/>
    </font>
    <font>
      <sz val="10"/>
      <color indexed="8"/>
      <name val="Helvetica"/>
      <family val="2"/>
    </font>
    <font>
      <b/>
      <sz val="10"/>
      <color indexed="8"/>
      <name val="Helvetica"/>
      <family val="2"/>
    </font>
    <font>
      <b/>
      <sz val="12"/>
      <color indexed="8"/>
      <name val="Helvetica"/>
      <family val="2"/>
    </font>
    <font>
      <sz val="24"/>
      <color indexed="8"/>
      <name val="GungsuhChe"/>
      <family val="3"/>
    </font>
    <font>
      <u/>
      <sz val="10"/>
      <color theme="10"/>
      <name val="Helvetica"/>
      <family val="2"/>
    </font>
    <font>
      <u/>
      <sz val="10"/>
      <color theme="11"/>
      <name val="Helvetica"/>
    </font>
    <font>
      <sz val="10"/>
      <color indexed="8"/>
      <name val="Arial Unicode MS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10"/>
      </left>
      <right style="thin">
        <color indexed="11"/>
      </right>
      <top/>
      <bottom style="thin">
        <color indexed="10"/>
      </bottom>
      <diagonal/>
    </border>
    <border>
      <left style="thin">
        <color indexed="11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6">
    <xf numFmtId="0" fontId="0" fillId="0" borderId="0" applyNumberFormat="0" applyFill="0" applyBorder="0" applyProtection="0">
      <alignment vertical="top" wrapText="1"/>
    </xf>
    <xf numFmtId="0" fontId="6" fillId="0" borderId="0" applyNumberFormat="0" applyFill="0" applyBorder="0" applyAlignment="0" applyProtection="0">
      <alignment vertical="top" wrapText="1"/>
    </xf>
    <xf numFmtId="0" fontId="7" fillId="0" borderId="0" applyNumberFormat="0" applyFill="0" applyBorder="0" applyAlignment="0" applyProtection="0">
      <alignment vertical="top" wrapText="1"/>
    </xf>
    <xf numFmtId="0" fontId="7" fillId="0" borderId="0" applyNumberFormat="0" applyFill="0" applyBorder="0" applyAlignment="0" applyProtection="0">
      <alignment vertical="top" wrapText="1"/>
    </xf>
    <xf numFmtId="0" fontId="7" fillId="0" borderId="0" applyNumberFormat="0" applyFill="0" applyBorder="0" applyAlignment="0" applyProtection="0">
      <alignment vertical="top" wrapText="1"/>
    </xf>
    <xf numFmtId="0" fontId="7" fillId="0" borderId="0" applyNumberFormat="0" applyFill="0" applyBorder="0" applyAlignment="0" applyProtection="0">
      <alignment vertical="top" wrapText="1"/>
    </xf>
  </cellStyleXfs>
  <cellXfs count="82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2" borderId="1" xfId="0" applyNumberFormat="1" applyFont="1" applyFill="1" applyBorder="1" applyAlignment="1">
      <alignment horizontal="left" vertical="top"/>
    </xf>
    <xf numFmtId="0" fontId="1" fillId="2" borderId="1" xfId="0" applyFont="1" applyFill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0" borderId="6" xfId="0" applyNumberFormat="1" applyFont="1" applyBorder="1" applyAlignment="1">
      <alignment horizontal="left" vertical="top"/>
    </xf>
    <xf numFmtId="49" fontId="0" fillId="0" borderId="7" xfId="0" applyNumberFormat="1" applyFont="1" applyBorder="1" applyAlignment="1">
      <alignment vertical="top"/>
    </xf>
    <xf numFmtId="0" fontId="0" fillId="0" borderId="7" xfId="0" applyFont="1" applyBorder="1" applyAlignment="1">
      <alignment vertical="top"/>
    </xf>
    <xf numFmtId="0" fontId="0" fillId="0" borderId="6" xfId="0" applyNumberFormat="1" applyFont="1" applyBorder="1" applyAlignment="1">
      <alignment horizontal="left" vertical="top"/>
    </xf>
    <xf numFmtId="0" fontId="0" fillId="0" borderId="6" xfId="0" applyFont="1" applyBorder="1" applyAlignment="1">
      <alignment horizontal="left" vertical="top"/>
    </xf>
    <xf numFmtId="0" fontId="0" fillId="0" borderId="7" xfId="0" applyNumberFormat="1" applyFont="1" applyBorder="1" applyAlignment="1">
      <alignment vertical="top"/>
    </xf>
    <xf numFmtId="0" fontId="2" fillId="0" borderId="0" xfId="0" applyFont="1" applyAlignment="1">
      <alignment vertical="top" wrapText="1"/>
    </xf>
    <xf numFmtId="0" fontId="2" fillId="0" borderId="6" xfId="0" applyNumberFormat="1" applyFont="1" applyBorder="1" applyAlignment="1">
      <alignment horizontal="left" vertical="top"/>
    </xf>
    <xf numFmtId="49" fontId="2" fillId="0" borderId="7" xfId="0" applyNumberFormat="1" applyFont="1" applyBorder="1" applyAlignment="1">
      <alignment vertical="top"/>
    </xf>
    <xf numFmtId="49" fontId="2" fillId="0" borderId="6" xfId="0" applyNumberFormat="1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4" borderId="0" xfId="0" applyFont="1" applyFill="1" applyAlignment="1">
      <alignment vertical="top" wrapText="1"/>
    </xf>
    <xf numFmtId="0" fontId="0" fillId="4" borderId="0" xfId="0" applyFont="1" applyFill="1" applyAlignment="1">
      <alignment vertical="top" wrapText="1"/>
    </xf>
    <xf numFmtId="0" fontId="3" fillId="6" borderId="0" xfId="0" applyFont="1" applyFill="1" applyAlignment="1">
      <alignment vertical="top" wrapText="1"/>
    </xf>
    <xf numFmtId="0" fontId="3" fillId="6" borderId="0" xfId="0" applyNumberFormat="1" applyFont="1" applyFill="1" applyAlignment="1">
      <alignment vertical="top"/>
    </xf>
    <xf numFmtId="0" fontId="3" fillId="7" borderId="0" xfId="0" applyFont="1" applyFill="1" applyAlignment="1">
      <alignment vertical="top" wrapText="1"/>
    </xf>
    <xf numFmtId="0" fontId="2" fillId="0" borderId="0" xfId="0" applyFont="1" applyAlignment="1">
      <alignment vertical="top"/>
    </xf>
    <xf numFmtId="0" fontId="0" fillId="0" borderId="0" xfId="0" applyFont="1" applyAlignment="1">
      <alignment vertical="top"/>
    </xf>
    <xf numFmtId="0" fontId="3" fillId="8" borderId="0" xfId="0" applyFont="1" applyFill="1" applyAlignment="1">
      <alignment vertical="top" wrapText="1"/>
    </xf>
    <xf numFmtId="0" fontId="2" fillId="9" borderId="0" xfId="0" applyFont="1" applyFill="1" applyAlignment="1">
      <alignment vertical="top" wrapText="1"/>
    </xf>
    <xf numFmtId="0" fontId="1" fillId="9" borderId="5" xfId="0" applyNumberFormat="1" applyFont="1" applyFill="1" applyBorder="1" applyAlignment="1">
      <alignment vertical="top"/>
    </xf>
    <xf numFmtId="49" fontId="0" fillId="9" borderId="6" xfId="0" applyNumberFormat="1" applyFont="1" applyFill="1" applyBorder="1" applyAlignment="1">
      <alignment horizontal="left" vertical="top"/>
    </xf>
    <xf numFmtId="49" fontId="0" fillId="9" borderId="7" xfId="0" applyNumberFormat="1" applyFont="1" applyFill="1" applyBorder="1" applyAlignment="1">
      <alignment vertical="top"/>
    </xf>
    <xf numFmtId="0" fontId="1" fillId="4" borderId="5" xfId="0" applyNumberFormat="1" applyFont="1" applyFill="1" applyBorder="1" applyAlignment="1">
      <alignment vertical="top"/>
    </xf>
    <xf numFmtId="49" fontId="0" fillId="4" borderId="6" xfId="0" applyNumberFormat="1" applyFont="1" applyFill="1" applyBorder="1" applyAlignment="1">
      <alignment horizontal="left" vertical="top"/>
    </xf>
    <xf numFmtId="49" fontId="0" fillId="4" borderId="7" xfId="0" applyNumberFormat="1" applyFont="1" applyFill="1" applyBorder="1" applyAlignment="1">
      <alignment vertical="top"/>
    </xf>
    <xf numFmtId="0" fontId="0" fillId="4" borderId="7" xfId="0" applyFont="1" applyFill="1" applyBorder="1" applyAlignment="1">
      <alignment vertical="top"/>
    </xf>
    <xf numFmtId="0" fontId="0" fillId="4" borderId="0" xfId="0" applyNumberFormat="1" applyFont="1" applyFill="1" applyAlignment="1">
      <alignment vertical="top"/>
    </xf>
    <xf numFmtId="0" fontId="0" fillId="10" borderId="0" xfId="0" applyFont="1" applyFill="1" applyAlignment="1">
      <alignment vertical="top" wrapText="1"/>
    </xf>
    <xf numFmtId="0" fontId="1" fillId="10" borderId="2" xfId="0" applyNumberFormat="1" applyFont="1" applyFill="1" applyBorder="1" applyAlignment="1">
      <alignment vertical="top"/>
    </xf>
    <xf numFmtId="49" fontId="0" fillId="10" borderId="4" xfId="0" applyNumberFormat="1" applyFont="1" applyFill="1" applyBorder="1" applyAlignment="1">
      <alignment vertical="top"/>
    </xf>
    <xf numFmtId="0" fontId="0" fillId="10" borderId="4" xfId="0" applyFont="1" applyFill="1" applyBorder="1" applyAlignment="1">
      <alignment vertical="top"/>
    </xf>
    <xf numFmtId="0" fontId="0" fillId="10" borderId="0" xfId="0" applyNumberFormat="1" applyFont="1" applyFill="1" applyAlignment="1">
      <alignment vertical="top"/>
    </xf>
    <xf numFmtId="0" fontId="1" fillId="10" borderId="5" xfId="0" applyNumberFormat="1" applyFont="1" applyFill="1" applyBorder="1" applyAlignment="1">
      <alignment vertical="top"/>
    </xf>
    <xf numFmtId="49" fontId="0" fillId="10" borderId="6" xfId="0" applyNumberFormat="1" applyFont="1" applyFill="1" applyBorder="1" applyAlignment="1">
      <alignment horizontal="left" vertical="top"/>
    </xf>
    <xf numFmtId="49" fontId="0" fillId="10" borderId="7" xfId="0" applyNumberFormat="1" applyFont="1" applyFill="1" applyBorder="1" applyAlignment="1">
      <alignment vertical="top"/>
    </xf>
    <xf numFmtId="0" fontId="0" fillId="10" borderId="7" xfId="0" applyFont="1" applyFill="1" applyBorder="1" applyAlignment="1">
      <alignment vertical="top"/>
    </xf>
    <xf numFmtId="0" fontId="0" fillId="10" borderId="6" xfId="0" applyNumberFormat="1" applyFont="1" applyFill="1" applyBorder="1" applyAlignment="1">
      <alignment horizontal="left" vertical="top"/>
    </xf>
    <xf numFmtId="0" fontId="2" fillId="10" borderId="0" xfId="0" applyFont="1" applyFill="1" applyAlignment="1">
      <alignment vertical="top" wrapText="1"/>
    </xf>
    <xf numFmtId="49" fontId="2" fillId="10" borderId="6" xfId="0" applyNumberFormat="1" applyFont="1" applyFill="1" applyBorder="1" applyAlignment="1">
      <alignment horizontal="left" vertical="top"/>
    </xf>
    <xf numFmtId="0" fontId="2" fillId="0" borderId="0" xfId="0" applyNumberFormat="1" applyFont="1" applyAlignment="1">
      <alignment vertical="top"/>
    </xf>
    <xf numFmtId="0" fontId="2" fillId="0" borderId="0" xfId="0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2" fillId="11" borderId="0" xfId="0" applyFont="1" applyFill="1" applyBorder="1" applyAlignment="1">
      <alignment vertical="top" wrapText="1"/>
    </xf>
    <xf numFmtId="0" fontId="0" fillId="11" borderId="0" xfId="0" applyFont="1" applyFill="1" applyBorder="1" applyAlignment="1">
      <alignment vertical="top" wrapText="1"/>
    </xf>
    <xf numFmtId="0" fontId="5" fillId="11" borderId="0" xfId="0" applyFont="1" applyFill="1" applyBorder="1" applyAlignment="1">
      <alignment vertical="top"/>
    </xf>
    <xf numFmtId="0" fontId="5" fillId="11" borderId="0" xfId="0" applyFont="1" applyFill="1" applyBorder="1" applyAlignment="1">
      <alignment vertical="top" wrapText="1"/>
    </xf>
    <xf numFmtId="0" fontId="0" fillId="11" borderId="9" xfId="0" applyFont="1" applyFill="1" applyBorder="1" applyAlignment="1">
      <alignment vertical="top" wrapText="1"/>
    </xf>
    <xf numFmtId="0" fontId="2" fillId="11" borderId="9" xfId="0" applyFont="1" applyFill="1" applyBorder="1" applyAlignment="1">
      <alignment vertical="top" wrapText="1"/>
    </xf>
    <xf numFmtId="0" fontId="3" fillId="7" borderId="9" xfId="0" applyFont="1" applyFill="1" applyBorder="1" applyAlignment="1">
      <alignment vertical="center" wrapText="1"/>
    </xf>
    <xf numFmtId="0" fontId="2" fillId="11" borderId="0" xfId="0" applyFont="1" applyFill="1" applyBorder="1" applyAlignment="1">
      <alignment vertical="top"/>
    </xf>
    <xf numFmtId="0" fontId="6" fillId="11" borderId="0" xfId="1" applyFill="1" applyBorder="1" applyAlignment="1">
      <alignment vertical="top"/>
    </xf>
    <xf numFmtId="0" fontId="0" fillId="0" borderId="10" xfId="0" applyFont="1" applyBorder="1" applyAlignment="1">
      <alignment vertical="top"/>
    </xf>
    <xf numFmtId="0" fontId="1" fillId="3" borderId="11" xfId="0" applyNumberFormat="1" applyFont="1" applyFill="1" applyBorder="1" applyAlignment="1">
      <alignment vertical="top"/>
    </xf>
    <xf numFmtId="49" fontId="0" fillId="0" borderId="12" xfId="0" applyNumberFormat="1" applyFont="1" applyBorder="1" applyAlignment="1">
      <alignment horizontal="left" vertical="top"/>
    </xf>
    <xf numFmtId="49" fontId="0" fillId="0" borderId="13" xfId="0" applyNumberFormat="1" applyFont="1" applyBorder="1" applyAlignment="1">
      <alignment vertical="top"/>
    </xf>
    <xf numFmtId="0" fontId="4" fillId="5" borderId="0" xfId="0" applyFont="1" applyFill="1" applyAlignment="1">
      <alignment vertical="center" wrapText="1"/>
    </xf>
    <xf numFmtId="0" fontId="4" fillId="5" borderId="10" xfId="0" applyFont="1" applyFill="1" applyBorder="1" applyAlignment="1">
      <alignment vertical="center" wrapText="1"/>
    </xf>
    <xf numFmtId="0" fontId="4" fillId="12" borderId="0" xfId="0" applyFont="1" applyFill="1" applyAlignment="1">
      <alignment vertical="center" wrapText="1"/>
    </xf>
    <xf numFmtId="0" fontId="4" fillId="12" borderId="10" xfId="0" applyFont="1" applyFill="1" applyBorder="1" applyAlignment="1">
      <alignment vertical="center" wrapText="1"/>
    </xf>
    <xf numFmtId="0" fontId="4" fillId="10" borderId="0" xfId="0" applyFont="1" applyFill="1" applyAlignment="1">
      <alignment vertical="top" wrapText="1"/>
    </xf>
    <xf numFmtId="0" fontId="4" fillId="13" borderId="0" xfId="0" applyFont="1" applyFill="1" applyAlignment="1">
      <alignment horizontal="right" vertical="top"/>
    </xf>
    <xf numFmtId="0" fontId="4" fillId="13" borderId="0" xfId="0" applyFont="1" applyFill="1" applyAlignment="1">
      <alignment vertical="top" wrapText="1"/>
    </xf>
    <xf numFmtId="0" fontId="3" fillId="14" borderId="9" xfId="0" applyFont="1" applyFill="1" applyBorder="1" applyAlignment="1">
      <alignment vertical="center" wrapText="1"/>
    </xf>
    <xf numFmtId="0" fontId="4" fillId="6" borderId="8" xfId="0" applyFont="1" applyFill="1" applyBorder="1" applyAlignment="1">
      <alignment horizontal="left" vertical="center"/>
    </xf>
    <xf numFmtId="0" fontId="2" fillId="11" borderId="9" xfId="0" applyFont="1" applyFill="1" applyBorder="1" applyAlignment="1">
      <alignment horizontal="right" vertical="center"/>
    </xf>
    <xf numFmtId="49" fontId="2" fillId="11" borderId="9" xfId="0" applyNumberFormat="1" applyFont="1" applyFill="1" applyBorder="1" applyAlignment="1">
      <alignment horizontal="right" vertical="center"/>
    </xf>
    <xf numFmtId="15" fontId="2" fillId="11" borderId="9" xfId="0" applyNumberFormat="1" applyFont="1" applyFill="1" applyBorder="1" applyAlignment="1">
      <alignment vertical="center" wrapText="1"/>
    </xf>
    <xf numFmtId="15" fontId="0" fillId="11" borderId="9" xfId="0" applyNumberFormat="1" applyFont="1" applyFill="1" applyBorder="1" applyAlignment="1">
      <alignment vertical="center" wrapText="1"/>
    </xf>
    <xf numFmtId="0" fontId="2" fillId="11" borderId="9" xfId="0" applyFont="1" applyFill="1" applyBorder="1" applyAlignment="1">
      <alignment vertical="center" wrapText="1"/>
    </xf>
    <xf numFmtId="0" fontId="0" fillId="11" borderId="9" xfId="0" applyFont="1" applyFill="1" applyBorder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top"/>
    </xf>
    <xf numFmtId="0" fontId="2" fillId="10" borderId="3" xfId="0" applyNumberFormat="1" applyFont="1" applyFill="1" applyBorder="1" applyAlignment="1">
      <alignment horizontal="left" vertical="top"/>
    </xf>
    <xf numFmtId="0" fontId="4" fillId="5" borderId="0" xfId="0" applyFont="1" applyFill="1" applyBorder="1" applyAlignment="1">
      <alignment vertical="center" wrapText="1"/>
    </xf>
    <xf numFmtId="0" fontId="4" fillId="12" borderId="0" xfId="0" applyFont="1" applyFill="1" applyBorder="1" applyAlignment="1">
      <alignment vertical="center" wrapText="1"/>
    </xf>
  </cellXfs>
  <cellStyles count="6">
    <cellStyle name="Besuchter Hyperlink" xfId="2" builtinId="9" hidden="1"/>
    <cellStyle name="Besuchter Hyperlink" xfId="3" builtinId="9" hidden="1"/>
    <cellStyle name="Besuchter Hyperlink" xfId="4" builtinId="9" hidden="1"/>
    <cellStyle name="Besuchter Hyperlink" xfId="5" builtinId="9" hidden="1"/>
    <cellStyle name="Hyperlink" xfId="1" builtinId="8"/>
    <cellStyle name="Standard" xfId="0" builtinId="0"/>
  </cellStyles>
  <dxfs count="0"/>
  <tableStyles count="0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mouser.com/ProjectManager/ProjectDetail.aspx?AccessID=6CEDD319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IW34"/>
  <sheetViews>
    <sheetView topLeftCell="A7" workbookViewId="0">
      <selection activeCell="G36" sqref="G36"/>
    </sheetView>
  </sheetViews>
  <sheetFormatPr baseColWidth="10" defaultColWidth="10.85546875" defaultRowHeight="12.75" x14ac:dyDescent="0.2"/>
  <cols>
    <col min="1" max="1" width="8.7109375" style="50" customWidth="1"/>
    <col min="2" max="2" width="18.28515625" style="50" customWidth="1"/>
    <col min="3" max="3" width="19.42578125" style="50" customWidth="1"/>
    <col min="4" max="5" width="10.85546875" style="50"/>
    <col min="6" max="6" width="20.7109375" style="50" customWidth="1"/>
    <col min="7" max="7" width="14.7109375" style="50" customWidth="1"/>
    <col min="8" max="8" width="10.85546875" style="50"/>
    <col min="9" max="9" width="12.42578125" style="50" customWidth="1"/>
    <col min="10" max="16384" width="10.85546875" style="50"/>
  </cols>
  <sheetData>
    <row r="6" spans="1:257" s="52" customFormat="1" ht="31.5" x14ac:dyDescent="0.2">
      <c r="C6" s="51" t="s">
        <v>466</v>
      </c>
    </row>
    <row r="8" spans="1:257" ht="31.5" x14ac:dyDescent="0.2">
      <c r="C8" s="51" t="s">
        <v>465</v>
      </c>
      <c r="E8" s="52"/>
      <c r="F8" s="52"/>
    </row>
    <row r="9" spans="1:257" s="19" customFormat="1" ht="27.95" customHeight="1" x14ac:dyDescent="0.2"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20"/>
      <c r="HJ9" s="20"/>
      <c r="HK9" s="20"/>
      <c r="HL9" s="20"/>
      <c r="HM9" s="20"/>
      <c r="HN9" s="20"/>
      <c r="HO9" s="20"/>
      <c r="HP9" s="20"/>
      <c r="HQ9" s="20"/>
      <c r="HR9" s="20"/>
      <c r="HS9" s="20"/>
      <c r="HT9" s="20"/>
      <c r="HU9" s="20"/>
      <c r="HV9" s="20"/>
      <c r="HW9" s="20"/>
      <c r="HX9" s="20"/>
      <c r="HY9" s="20"/>
      <c r="HZ9" s="20"/>
      <c r="IA9" s="20"/>
      <c r="IB9" s="20"/>
      <c r="IC9" s="20"/>
      <c r="ID9" s="20"/>
      <c r="IE9" s="20"/>
      <c r="IF9" s="20"/>
      <c r="IG9" s="20"/>
      <c r="IH9" s="20"/>
      <c r="II9" s="20"/>
      <c r="IJ9" s="20"/>
      <c r="IK9" s="20"/>
      <c r="IL9" s="20"/>
      <c r="IM9" s="20"/>
      <c r="IN9" s="20"/>
      <c r="IO9" s="20"/>
      <c r="IP9" s="20"/>
      <c r="IQ9" s="20"/>
      <c r="IR9" s="20"/>
      <c r="IS9" s="20"/>
      <c r="IT9" s="20"/>
      <c r="IU9" s="20"/>
      <c r="IV9" s="20"/>
      <c r="IW9" s="20"/>
    </row>
    <row r="10" spans="1:257" x14ac:dyDescent="0.2">
      <c r="A10" s="49"/>
    </row>
    <row r="11" spans="1:257" x14ac:dyDescent="0.2">
      <c r="A11" s="49"/>
    </row>
    <row r="12" spans="1:257" x14ac:dyDescent="0.2">
      <c r="A12" s="49"/>
    </row>
    <row r="13" spans="1:257" x14ac:dyDescent="0.2">
      <c r="A13" s="49"/>
      <c r="B13" s="49"/>
      <c r="C13" s="49" t="s">
        <v>464</v>
      </c>
      <c r="D13" s="56" t="s">
        <v>461</v>
      </c>
    </row>
    <row r="15" spans="1:257" ht="38.25" x14ac:dyDescent="0.2">
      <c r="C15" s="49" t="s">
        <v>463</v>
      </c>
      <c r="D15" s="57" t="s">
        <v>462</v>
      </c>
    </row>
    <row r="25" spans="2:10" ht="38.25" x14ac:dyDescent="0.2">
      <c r="B25" s="55" t="s">
        <v>458</v>
      </c>
      <c r="C25" s="55" t="s">
        <v>451</v>
      </c>
      <c r="D25" s="55" t="s">
        <v>450</v>
      </c>
      <c r="E25" s="55" t="s">
        <v>449</v>
      </c>
      <c r="F25" s="55" t="s">
        <v>452</v>
      </c>
      <c r="G25" s="55" t="s">
        <v>453</v>
      </c>
      <c r="H25" s="55" t="s">
        <v>457</v>
      </c>
      <c r="I25" s="55" t="s">
        <v>460</v>
      </c>
      <c r="J25" s="69" t="s">
        <v>471</v>
      </c>
    </row>
    <row r="26" spans="2:10" ht="51" x14ac:dyDescent="0.2">
      <c r="B26" s="54" t="s">
        <v>459</v>
      </c>
      <c r="C26" s="71" t="s">
        <v>454</v>
      </c>
      <c r="D26" s="74">
        <v>42748</v>
      </c>
      <c r="E26" s="75" t="s">
        <v>455</v>
      </c>
      <c r="F26" s="75"/>
      <c r="G26" s="54" t="s">
        <v>456</v>
      </c>
      <c r="H26" s="54" t="s">
        <v>456</v>
      </c>
      <c r="I26" s="54" t="s">
        <v>456</v>
      </c>
      <c r="J26" s="54" t="s">
        <v>470</v>
      </c>
    </row>
    <row r="27" spans="2:10" ht="25.5" x14ac:dyDescent="0.2">
      <c r="B27" s="53" t="s">
        <v>475</v>
      </c>
      <c r="C27" s="72" t="s">
        <v>476</v>
      </c>
      <c r="D27" s="74">
        <v>42750</v>
      </c>
      <c r="E27" s="75" t="s">
        <v>455</v>
      </c>
      <c r="F27" s="76" t="s">
        <v>473</v>
      </c>
      <c r="G27" s="53" t="s">
        <v>456</v>
      </c>
      <c r="H27" s="53" t="s">
        <v>456</v>
      </c>
      <c r="I27" s="53"/>
      <c r="J27" s="53" t="s">
        <v>474</v>
      </c>
    </row>
    <row r="28" spans="2:10" ht="38.25" x14ac:dyDescent="0.2">
      <c r="B28" s="54" t="s">
        <v>475</v>
      </c>
      <c r="C28" s="72" t="s">
        <v>477</v>
      </c>
      <c r="D28" s="73">
        <v>42753</v>
      </c>
      <c r="E28" s="75" t="s">
        <v>455</v>
      </c>
      <c r="F28" s="75" t="s">
        <v>483</v>
      </c>
      <c r="G28" s="54" t="s">
        <v>456</v>
      </c>
      <c r="H28" s="53"/>
      <c r="I28" s="53"/>
      <c r="J28" s="54" t="s">
        <v>478</v>
      </c>
    </row>
    <row r="29" spans="2:10" x14ac:dyDescent="0.2">
      <c r="B29" s="53"/>
      <c r="C29" s="72"/>
      <c r="D29" s="53"/>
      <c r="E29" s="53"/>
      <c r="F29" s="76"/>
      <c r="G29" s="53"/>
      <c r="H29" s="53"/>
      <c r="I29" s="53"/>
      <c r="J29" s="53"/>
    </row>
    <row r="30" spans="2:10" x14ac:dyDescent="0.2">
      <c r="B30" s="53"/>
      <c r="C30" s="72"/>
      <c r="D30" s="53"/>
      <c r="E30" s="53"/>
      <c r="F30" s="76"/>
      <c r="G30" s="53"/>
      <c r="H30" s="53"/>
      <c r="I30" s="53"/>
      <c r="J30" s="53"/>
    </row>
    <row r="31" spans="2:10" x14ac:dyDescent="0.2">
      <c r="B31" s="53"/>
      <c r="C31" s="72"/>
      <c r="D31" s="53"/>
      <c r="E31" s="53"/>
      <c r="F31" s="76"/>
      <c r="G31" s="53"/>
      <c r="H31" s="53"/>
      <c r="I31" s="53"/>
      <c r="J31" s="53"/>
    </row>
    <row r="32" spans="2:10" x14ac:dyDescent="0.2">
      <c r="B32" s="53"/>
      <c r="C32" s="72"/>
      <c r="D32" s="53"/>
      <c r="E32" s="53"/>
      <c r="F32" s="76"/>
      <c r="G32" s="53"/>
      <c r="H32" s="53"/>
      <c r="I32" s="53"/>
      <c r="J32" s="53"/>
    </row>
    <row r="33" spans="2:10" x14ac:dyDescent="0.2">
      <c r="B33" s="53"/>
      <c r="C33" s="72"/>
      <c r="D33" s="53"/>
      <c r="E33" s="53"/>
      <c r="F33" s="76"/>
      <c r="G33" s="53"/>
      <c r="H33" s="53"/>
      <c r="I33" s="53"/>
      <c r="J33" s="53"/>
    </row>
    <row r="34" spans="2:10" x14ac:dyDescent="0.2">
      <c r="B34" s="53"/>
      <c r="C34" s="72"/>
      <c r="D34" s="53"/>
      <c r="E34" s="53"/>
      <c r="F34" s="76"/>
      <c r="G34" s="53"/>
      <c r="H34" s="53"/>
      <c r="I34" s="53"/>
      <c r="J34" s="53"/>
    </row>
  </sheetData>
  <mergeCells count="1">
    <mergeCell ref="B9:M9"/>
  </mergeCells>
  <hyperlinks>
    <hyperlink ref="D15" r:id="rId1"/>
  </hyperlinks>
  <pageMargins left="0.7" right="0.7" top="0.78740157499999996" bottom="0.78740157499999996" header="0.3" footer="0.3"/>
  <pageSetup paperSize="9" orientation="portrait" verticalDpi="0"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2:IX104"/>
  <sheetViews>
    <sheetView showGridLines="0" topLeftCell="A82" workbookViewId="0">
      <selection activeCell="C102" sqref="C102"/>
    </sheetView>
  </sheetViews>
  <sheetFormatPr baseColWidth="10" defaultColWidth="8.28515625" defaultRowHeight="18" customHeight="1" x14ac:dyDescent="0.2"/>
  <cols>
    <col min="1" max="1" width="10" customWidth="1"/>
    <col min="2" max="2" width="16" customWidth="1"/>
    <col min="3" max="3" width="4.28515625" style="1" customWidth="1"/>
    <col min="4" max="4" width="21.85546875" style="1" customWidth="1"/>
    <col min="5" max="5" width="18.7109375" style="1" customWidth="1"/>
    <col min="6" max="6" width="13.42578125" style="1" customWidth="1"/>
    <col min="7" max="7" width="166.7109375" style="1" customWidth="1"/>
    <col min="8" max="8" width="34.85546875" style="1" customWidth="1"/>
    <col min="9" max="9" width="3.85546875" style="1" customWidth="1"/>
    <col min="10" max="10" width="5.140625" style="1" customWidth="1"/>
    <col min="11" max="11" width="12.7109375" style="1" customWidth="1"/>
    <col min="12" max="12" width="12.28515625" style="1" customWidth="1"/>
    <col min="13" max="13" width="16.7109375" style="1" customWidth="1"/>
    <col min="14" max="258" width="8.28515625" style="1" customWidth="1"/>
  </cols>
  <sheetData>
    <row r="2" spans="1:14" ht="20.85" customHeight="1" x14ac:dyDescent="0.2">
      <c r="A2" s="21" t="s">
        <v>480</v>
      </c>
      <c r="B2" s="21" t="s">
        <v>425</v>
      </c>
      <c r="C2" s="2" t="s">
        <v>0</v>
      </c>
      <c r="D2" s="3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4"/>
    </row>
    <row r="3" spans="1:14" ht="20.45" customHeight="1" x14ac:dyDescent="0.2">
      <c r="A3" s="12" t="s">
        <v>456</v>
      </c>
      <c r="B3" s="12" t="s">
        <v>467</v>
      </c>
      <c r="C3" s="5">
        <v>6</v>
      </c>
      <c r="D3" s="9">
        <v>10</v>
      </c>
      <c r="E3" s="7" t="s">
        <v>167</v>
      </c>
      <c r="F3" s="7" t="s">
        <v>168</v>
      </c>
      <c r="G3" s="7" t="s">
        <v>169</v>
      </c>
      <c r="H3" s="7" t="s">
        <v>170</v>
      </c>
      <c r="I3" s="8"/>
      <c r="J3" s="8"/>
      <c r="K3" s="8"/>
      <c r="L3" s="8"/>
      <c r="M3" s="8"/>
      <c r="N3" s="8"/>
    </row>
    <row r="4" spans="1:14" ht="20.45" customHeight="1" x14ac:dyDescent="0.2">
      <c r="A4" s="12" t="s">
        <v>456</v>
      </c>
      <c r="B4" s="12" t="s">
        <v>467</v>
      </c>
      <c r="C4" s="5">
        <v>2</v>
      </c>
      <c r="D4" s="9">
        <v>56</v>
      </c>
      <c r="E4" s="7" t="s">
        <v>167</v>
      </c>
      <c r="F4" s="7" t="s">
        <v>168</v>
      </c>
      <c r="G4" s="7" t="s">
        <v>171</v>
      </c>
      <c r="H4" s="7" t="s">
        <v>170</v>
      </c>
      <c r="I4" s="8"/>
      <c r="J4" s="8"/>
      <c r="K4" s="8"/>
      <c r="L4" s="8"/>
      <c r="M4" s="8"/>
      <c r="N4" s="8"/>
    </row>
    <row r="5" spans="1:14" ht="20.45" customHeight="1" x14ac:dyDescent="0.2">
      <c r="A5" s="12" t="s">
        <v>456</v>
      </c>
      <c r="B5" s="12" t="s">
        <v>467</v>
      </c>
      <c r="C5" s="5">
        <v>1</v>
      </c>
      <c r="D5" s="9">
        <v>100</v>
      </c>
      <c r="E5" s="7" t="s">
        <v>172</v>
      </c>
      <c r="F5" s="7" t="s">
        <v>173</v>
      </c>
      <c r="G5" s="7" t="s">
        <v>174</v>
      </c>
      <c r="H5" s="7" t="s">
        <v>170</v>
      </c>
      <c r="I5" s="8"/>
      <c r="J5" s="8"/>
      <c r="K5" s="8"/>
      <c r="L5" s="8"/>
      <c r="M5" s="8"/>
      <c r="N5" s="8"/>
    </row>
    <row r="6" spans="1:14" ht="20.45" customHeight="1" x14ac:dyDescent="0.2">
      <c r="A6" s="12" t="s">
        <v>456</v>
      </c>
      <c r="B6" s="12" t="s">
        <v>467</v>
      </c>
      <c r="C6" s="5">
        <v>3</v>
      </c>
      <c r="D6" s="9">
        <v>100</v>
      </c>
      <c r="E6" s="7" t="s">
        <v>167</v>
      </c>
      <c r="F6" s="7" t="s">
        <v>168</v>
      </c>
      <c r="G6" s="7" t="s">
        <v>175</v>
      </c>
      <c r="H6" s="7" t="s">
        <v>170</v>
      </c>
      <c r="I6" s="8"/>
      <c r="J6" s="8"/>
      <c r="K6" s="8"/>
      <c r="L6" s="8"/>
      <c r="M6" s="8"/>
      <c r="N6" s="8"/>
    </row>
    <row r="7" spans="1:14" ht="20.45" customHeight="1" x14ac:dyDescent="0.2">
      <c r="A7" s="12" t="s">
        <v>456</v>
      </c>
      <c r="B7" s="12" t="s">
        <v>467</v>
      </c>
      <c r="C7" s="5">
        <v>1</v>
      </c>
      <c r="D7" s="9">
        <v>120</v>
      </c>
      <c r="E7" s="7" t="s">
        <v>167</v>
      </c>
      <c r="F7" s="7" t="s">
        <v>168</v>
      </c>
      <c r="G7" s="7" t="s">
        <v>176</v>
      </c>
      <c r="H7" s="7" t="s">
        <v>170</v>
      </c>
      <c r="I7" s="8"/>
      <c r="J7" s="8"/>
      <c r="K7" s="8"/>
      <c r="L7" s="8"/>
      <c r="M7" s="8"/>
      <c r="N7" s="8"/>
    </row>
    <row r="8" spans="1:14" ht="20.45" customHeight="1" x14ac:dyDescent="0.2">
      <c r="B8" s="12" t="s">
        <v>467</v>
      </c>
      <c r="C8" s="5">
        <v>9</v>
      </c>
      <c r="D8" s="9">
        <v>220</v>
      </c>
      <c r="E8" s="7" t="s">
        <v>172</v>
      </c>
      <c r="F8" s="7" t="s">
        <v>173</v>
      </c>
      <c r="G8" s="7" t="s">
        <v>177</v>
      </c>
      <c r="H8" s="7" t="s">
        <v>170</v>
      </c>
      <c r="I8" s="8"/>
      <c r="J8" s="8"/>
      <c r="K8" s="8"/>
      <c r="L8" s="8"/>
      <c r="M8" s="8"/>
      <c r="N8" s="8"/>
    </row>
    <row r="9" spans="1:14" ht="20.45" customHeight="1" x14ac:dyDescent="0.2">
      <c r="B9" s="12" t="s">
        <v>467</v>
      </c>
      <c r="C9" s="5">
        <v>17</v>
      </c>
      <c r="D9" s="9">
        <v>220</v>
      </c>
      <c r="E9" s="7" t="s">
        <v>167</v>
      </c>
      <c r="F9" s="7" t="s">
        <v>168</v>
      </c>
      <c r="G9" s="7" t="s">
        <v>178</v>
      </c>
      <c r="H9" s="7" t="s">
        <v>170</v>
      </c>
      <c r="I9" s="8"/>
      <c r="J9" s="8"/>
      <c r="K9" s="8"/>
      <c r="L9" s="8"/>
      <c r="M9" s="8"/>
      <c r="N9" s="8"/>
    </row>
    <row r="10" spans="1:14" ht="20.45" customHeight="1" x14ac:dyDescent="0.2">
      <c r="A10" s="12" t="s">
        <v>456</v>
      </c>
      <c r="B10" s="12" t="s">
        <v>467</v>
      </c>
      <c r="C10" s="5">
        <v>2</v>
      </c>
      <c r="D10" s="9">
        <v>240</v>
      </c>
      <c r="E10" s="7" t="s">
        <v>167</v>
      </c>
      <c r="F10" s="7" t="s">
        <v>168</v>
      </c>
      <c r="G10" s="7" t="s">
        <v>179</v>
      </c>
      <c r="H10" s="7" t="s">
        <v>170</v>
      </c>
      <c r="I10" s="8"/>
      <c r="J10" s="8"/>
      <c r="K10" s="8"/>
      <c r="L10" s="8"/>
      <c r="M10" s="8"/>
      <c r="N10" s="8"/>
    </row>
    <row r="11" spans="1:14" ht="20.45" customHeight="1" x14ac:dyDescent="0.2">
      <c r="A11" s="12" t="s">
        <v>456</v>
      </c>
      <c r="B11" s="12" t="s">
        <v>467</v>
      </c>
      <c r="C11" s="5">
        <v>1</v>
      </c>
      <c r="D11" s="9">
        <v>330</v>
      </c>
      <c r="E11" s="7" t="s">
        <v>167</v>
      </c>
      <c r="F11" s="7" t="s">
        <v>168</v>
      </c>
      <c r="G11" s="7" t="s">
        <v>180</v>
      </c>
      <c r="H11" s="7" t="s">
        <v>170</v>
      </c>
      <c r="I11" s="8"/>
      <c r="J11" s="8"/>
      <c r="K11" s="8"/>
      <c r="L11" s="8"/>
      <c r="M11" s="8"/>
      <c r="N11" s="8"/>
    </row>
    <row r="12" spans="1:14" ht="20.45" customHeight="1" x14ac:dyDescent="0.2">
      <c r="B12" s="12" t="s">
        <v>467</v>
      </c>
      <c r="C12" s="5">
        <v>1</v>
      </c>
      <c r="D12" s="9">
        <v>470</v>
      </c>
      <c r="E12" s="7" t="s">
        <v>172</v>
      </c>
      <c r="F12" s="7" t="s">
        <v>173</v>
      </c>
      <c r="G12" s="7" t="s">
        <v>181</v>
      </c>
      <c r="H12" s="7" t="s">
        <v>170</v>
      </c>
      <c r="I12" s="8"/>
      <c r="J12" s="8"/>
      <c r="K12" s="8"/>
      <c r="L12" s="8"/>
      <c r="M12" s="8"/>
      <c r="N12" s="8"/>
    </row>
    <row r="13" spans="1:14" ht="20.45" customHeight="1" x14ac:dyDescent="0.2">
      <c r="B13" s="12" t="s">
        <v>467</v>
      </c>
      <c r="C13" s="5">
        <v>8</v>
      </c>
      <c r="D13" s="9">
        <v>470</v>
      </c>
      <c r="E13" s="7" t="s">
        <v>167</v>
      </c>
      <c r="F13" s="7" t="s">
        <v>168</v>
      </c>
      <c r="G13" s="7" t="s">
        <v>182</v>
      </c>
      <c r="H13" s="7" t="s">
        <v>170</v>
      </c>
      <c r="I13" s="8"/>
      <c r="J13" s="8"/>
      <c r="K13" s="8"/>
      <c r="L13" s="8"/>
      <c r="M13" s="8"/>
      <c r="N13" s="8"/>
    </row>
    <row r="14" spans="1:14" ht="20.45" customHeight="1" x14ac:dyDescent="0.2">
      <c r="B14" s="12" t="s">
        <v>467</v>
      </c>
      <c r="C14" s="5">
        <v>3</v>
      </c>
      <c r="D14" s="9">
        <v>680</v>
      </c>
      <c r="E14" s="7" t="s">
        <v>167</v>
      </c>
      <c r="F14" s="7" t="s">
        <v>168</v>
      </c>
      <c r="G14" s="7" t="s">
        <v>183</v>
      </c>
      <c r="H14" s="7" t="s">
        <v>170</v>
      </c>
      <c r="I14" s="8"/>
      <c r="J14" s="8"/>
      <c r="K14" s="8"/>
      <c r="L14" s="8"/>
      <c r="M14" s="8"/>
      <c r="N14" s="8"/>
    </row>
    <row r="15" spans="1:14" ht="20.45" customHeight="1" x14ac:dyDescent="0.2">
      <c r="B15" s="12" t="s">
        <v>467</v>
      </c>
      <c r="C15" s="5">
        <v>3</v>
      </c>
      <c r="D15" s="9">
        <v>820</v>
      </c>
      <c r="E15" s="7" t="s">
        <v>167</v>
      </c>
      <c r="F15" s="7" t="s">
        <v>168</v>
      </c>
      <c r="G15" s="7" t="s">
        <v>184</v>
      </c>
      <c r="H15" s="7" t="s">
        <v>170</v>
      </c>
      <c r="I15" s="8"/>
      <c r="J15" s="8"/>
      <c r="K15" s="8"/>
      <c r="L15" s="8"/>
      <c r="M15" s="8"/>
      <c r="N15" s="8"/>
    </row>
    <row r="16" spans="1:14" ht="20.45" customHeight="1" x14ac:dyDescent="0.2">
      <c r="B16" s="12" t="s">
        <v>467</v>
      </c>
      <c r="C16" s="5">
        <v>62</v>
      </c>
      <c r="D16" s="6" t="s">
        <v>14</v>
      </c>
      <c r="E16" s="7" t="s">
        <v>167</v>
      </c>
      <c r="F16" s="7" t="s">
        <v>168</v>
      </c>
      <c r="G16" s="7" t="s">
        <v>185</v>
      </c>
      <c r="H16" s="7" t="s">
        <v>170</v>
      </c>
      <c r="I16" s="8"/>
      <c r="J16" s="8"/>
      <c r="K16" s="8"/>
      <c r="L16" s="8"/>
      <c r="M16" s="8"/>
      <c r="N16" s="8"/>
    </row>
    <row r="17" spans="1:14" ht="20.45" customHeight="1" x14ac:dyDescent="0.2">
      <c r="B17" s="12" t="s">
        <v>467</v>
      </c>
      <c r="C17" s="5">
        <v>3</v>
      </c>
      <c r="D17" s="6" t="s">
        <v>16</v>
      </c>
      <c r="E17" s="7" t="s">
        <v>172</v>
      </c>
      <c r="F17" s="7" t="s">
        <v>173</v>
      </c>
      <c r="G17" s="7" t="s">
        <v>186</v>
      </c>
      <c r="H17" s="7" t="s">
        <v>170</v>
      </c>
      <c r="I17" s="8"/>
      <c r="J17" s="8"/>
      <c r="K17" s="8"/>
      <c r="L17" s="8"/>
      <c r="M17" s="8"/>
      <c r="N17" s="8"/>
    </row>
    <row r="18" spans="1:14" ht="20.45" customHeight="1" x14ac:dyDescent="0.2">
      <c r="B18" s="12" t="s">
        <v>467</v>
      </c>
      <c r="C18" s="5">
        <v>16</v>
      </c>
      <c r="D18" s="6" t="s">
        <v>16</v>
      </c>
      <c r="E18" s="7" t="s">
        <v>167</v>
      </c>
      <c r="F18" s="7" t="s">
        <v>168</v>
      </c>
      <c r="G18" s="7" t="s">
        <v>187</v>
      </c>
      <c r="H18" s="7" t="s">
        <v>170</v>
      </c>
      <c r="I18" s="8"/>
      <c r="J18" s="8"/>
      <c r="K18" s="8"/>
      <c r="L18" s="8"/>
      <c r="M18" s="8"/>
      <c r="N18" s="8"/>
    </row>
    <row r="19" spans="1:14" ht="20.45" customHeight="1" x14ac:dyDescent="0.2">
      <c r="A19" s="12" t="s">
        <v>456</v>
      </c>
      <c r="B19" s="12" t="s">
        <v>467</v>
      </c>
      <c r="C19" s="5">
        <v>1</v>
      </c>
      <c r="D19" s="6" t="s">
        <v>188</v>
      </c>
      <c r="E19" s="7" t="s">
        <v>167</v>
      </c>
      <c r="F19" s="7" t="s">
        <v>168</v>
      </c>
      <c r="G19" s="7" t="s">
        <v>189</v>
      </c>
      <c r="H19" s="7" t="s">
        <v>170</v>
      </c>
      <c r="I19" s="8"/>
      <c r="J19" s="8"/>
      <c r="K19" s="8"/>
      <c r="L19" s="8"/>
      <c r="M19" s="8"/>
      <c r="N19" s="8"/>
    </row>
    <row r="20" spans="1:14" ht="20.45" customHeight="1" x14ac:dyDescent="0.2">
      <c r="B20" s="12" t="s">
        <v>467</v>
      </c>
      <c r="C20" s="5">
        <v>3</v>
      </c>
      <c r="D20" s="6" t="s">
        <v>190</v>
      </c>
      <c r="E20" s="7" t="s">
        <v>167</v>
      </c>
      <c r="F20" s="7" t="s">
        <v>168</v>
      </c>
      <c r="G20" s="7" t="s">
        <v>191</v>
      </c>
      <c r="H20" s="7" t="s">
        <v>170</v>
      </c>
      <c r="I20" s="8"/>
      <c r="J20" s="8"/>
      <c r="K20" s="8"/>
      <c r="L20" s="8"/>
      <c r="M20" s="8"/>
      <c r="N20" s="8"/>
    </row>
    <row r="21" spans="1:14" ht="20.45" customHeight="1" x14ac:dyDescent="0.2">
      <c r="A21" s="12" t="s">
        <v>456</v>
      </c>
      <c r="B21" s="12" t="s">
        <v>467</v>
      </c>
      <c r="C21" s="5">
        <v>4</v>
      </c>
      <c r="D21" s="6" t="s">
        <v>192</v>
      </c>
      <c r="E21" s="7" t="s">
        <v>167</v>
      </c>
      <c r="F21" s="7" t="s">
        <v>168</v>
      </c>
      <c r="G21" s="7" t="s">
        <v>193</v>
      </c>
      <c r="H21" s="7" t="s">
        <v>170</v>
      </c>
      <c r="I21" s="8"/>
      <c r="J21" s="8"/>
      <c r="K21" s="8"/>
      <c r="L21" s="8"/>
      <c r="M21" s="8"/>
      <c r="N21" s="8"/>
    </row>
    <row r="22" spans="1:14" ht="20.45" customHeight="1" x14ac:dyDescent="0.2">
      <c r="A22" s="12" t="s">
        <v>456</v>
      </c>
      <c r="B22" s="12" t="s">
        <v>467</v>
      </c>
      <c r="C22" s="5">
        <v>8</v>
      </c>
      <c r="D22" s="6" t="s">
        <v>194</v>
      </c>
      <c r="E22" s="7" t="s">
        <v>167</v>
      </c>
      <c r="F22" s="7" t="s">
        <v>168</v>
      </c>
      <c r="G22" s="7" t="s">
        <v>195</v>
      </c>
      <c r="H22" s="7" t="s">
        <v>170</v>
      </c>
      <c r="I22" s="8"/>
      <c r="J22" s="8"/>
      <c r="K22" s="8"/>
      <c r="L22" s="8"/>
      <c r="M22" s="8"/>
      <c r="N22" s="8"/>
    </row>
    <row r="23" spans="1:14" ht="20.45" customHeight="1" x14ac:dyDescent="0.2">
      <c r="A23" s="12" t="s">
        <v>456</v>
      </c>
      <c r="B23" s="12" t="s">
        <v>467</v>
      </c>
      <c r="C23" s="5">
        <v>7</v>
      </c>
      <c r="D23" s="6" t="s">
        <v>196</v>
      </c>
      <c r="E23" s="7" t="s">
        <v>167</v>
      </c>
      <c r="F23" s="7" t="s">
        <v>168</v>
      </c>
      <c r="G23" s="7" t="s">
        <v>197</v>
      </c>
      <c r="H23" s="7" t="s">
        <v>170</v>
      </c>
      <c r="I23" s="8"/>
      <c r="J23" s="8"/>
      <c r="K23" s="8"/>
      <c r="L23" s="8"/>
      <c r="M23" s="8"/>
      <c r="N23" s="8"/>
    </row>
    <row r="24" spans="1:14" ht="20.45" customHeight="1" x14ac:dyDescent="0.2">
      <c r="A24" s="12" t="s">
        <v>456</v>
      </c>
      <c r="B24" s="12" t="s">
        <v>467</v>
      </c>
      <c r="C24" s="5">
        <v>3</v>
      </c>
      <c r="D24" s="6" t="s">
        <v>198</v>
      </c>
      <c r="E24" s="7" t="s">
        <v>167</v>
      </c>
      <c r="F24" s="7" t="s">
        <v>168</v>
      </c>
      <c r="G24" s="7" t="s">
        <v>199</v>
      </c>
      <c r="H24" s="7" t="s">
        <v>170</v>
      </c>
      <c r="I24" s="8"/>
      <c r="J24" s="8"/>
      <c r="K24" s="8"/>
      <c r="L24" s="8"/>
      <c r="M24" s="8"/>
      <c r="N24" s="8"/>
    </row>
    <row r="25" spans="1:14" ht="20.45" customHeight="1" x14ac:dyDescent="0.2">
      <c r="B25" s="12" t="s">
        <v>467</v>
      </c>
      <c r="C25" s="5">
        <v>9</v>
      </c>
      <c r="D25" s="6" t="s">
        <v>200</v>
      </c>
      <c r="E25" s="7" t="s">
        <v>167</v>
      </c>
      <c r="F25" s="7" t="s">
        <v>168</v>
      </c>
      <c r="G25" s="7" t="s">
        <v>201</v>
      </c>
      <c r="H25" s="7" t="s">
        <v>170</v>
      </c>
      <c r="I25" s="8"/>
      <c r="J25" s="8"/>
      <c r="K25" s="8"/>
      <c r="L25" s="8"/>
      <c r="M25" s="8"/>
      <c r="N25" s="8"/>
    </row>
    <row r="26" spans="1:14" ht="20.45" customHeight="1" x14ac:dyDescent="0.2">
      <c r="B26" s="12" t="s">
        <v>467</v>
      </c>
      <c r="C26" s="5">
        <v>1</v>
      </c>
      <c r="D26" s="6" t="s">
        <v>202</v>
      </c>
      <c r="E26" s="7" t="s">
        <v>172</v>
      </c>
      <c r="F26" s="7" t="s">
        <v>173</v>
      </c>
      <c r="G26" s="7" t="s">
        <v>203</v>
      </c>
      <c r="H26" s="7" t="s">
        <v>170</v>
      </c>
      <c r="I26" s="8"/>
      <c r="J26" s="8"/>
      <c r="K26" s="8"/>
      <c r="L26" s="8"/>
      <c r="M26" s="8"/>
      <c r="N26" s="8"/>
    </row>
    <row r="27" spans="1:14" ht="20.45" customHeight="1" x14ac:dyDescent="0.2">
      <c r="B27" s="12" t="s">
        <v>467</v>
      </c>
      <c r="C27" s="5">
        <v>13</v>
      </c>
      <c r="D27" s="6" t="s">
        <v>202</v>
      </c>
      <c r="E27" s="7" t="s">
        <v>167</v>
      </c>
      <c r="F27" s="7" t="s">
        <v>168</v>
      </c>
      <c r="G27" s="7" t="s">
        <v>204</v>
      </c>
      <c r="H27" s="7" t="s">
        <v>170</v>
      </c>
      <c r="I27" s="8"/>
      <c r="J27" s="8"/>
      <c r="K27" s="8"/>
      <c r="L27" s="8"/>
      <c r="M27" s="8"/>
      <c r="N27" s="8"/>
    </row>
    <row r="28" spans="1:14" ht="20.45" customHeight="1" x14ac:dyDescent="0.2">
      <c r="B28" s="12" t="s">
        <v>467</v>
      </c>
      <c r="C28" s="5">
        <v>7</v>
      </c>
      <c r="D28" s="6" t="s">
        <v>205</v>
      </c>
      <c r="E28" s="7" t="s">
        <v>167</v>
      </c>
      <c r="F28" s="7" t="s">
        <v>168</v>
      </c>
      <c r="G28" s="7" t="s">
        <v>206</v>
      </c>
      <c r="H28" s="7" t="s">
        <v>170</v>
      </c>
      <c r="I28" s="8"/>
      <c r="J28" s="8"/>
      <c r="K28" s="8"/>
      <c r="L28" s="8"/>
      <c r="M28" s="8"/>
      <c r="N28" s="8"/>
    </row>
    <row r="29" spans="1:14" ht="20.45" customHeight="1" x14ac:dyDescent="0.2">
      <c r="A29" s="12" t="s">
        <v>456</v>
      </c>
      <c r="B29" s="12" t="s">
        <v>467</v>
      </c>
      <c r="C29" s="5">
        <v>1</v>
      </c>
      <c r="D29" s="6" t="s">
        <v>207</v>
      </c>
      <c r="E29" s="7" t="s">
        <v>167</v>
      </c>
      <c r="F29" s="7" t="s">
        <v>168</v>
      </c>
      <c r="G29" s="7" t="s">
        <v>208</v>
      </c>
      <c r="H29" s="7" t="s">
        <v>170</v>
      </c>
      <c r="I29" s="8"/>
      <c r="J29" s="8"/>
      <c r="K29" s="8"/>
      <c r="L29" s="8"/>
      <c r="M29" s="8"/>
      <c r="N29" s="8"/>
    </row>
    <row r="30" spans="1:14" ht="20.45" customHeight="1" x14ac:dyDescent="0.2">
      <c r="B30" s="12" t="s">
        <v>467</v>
      </c>
      <c r="C30" s="5">
        <v>5</v>
      </c>
      <c r="D30" s="6" t="s">
        <v>209</v>
      </c>
      <c r="E30" s="7" t="s">
        <v>167</v>
      </c>
      <c r="F30" s="7" t="s">
        <v>168</v>
      </c>
      <c r="G30" s="7" t="s">
        <v>210</v>
      </c>
      <c r="H30" s="7" t="s">
        <v>170</v>
      </c>
      <c r="I30" s="8"/>
      <c r="J30" s="8"/>
      <c r="K30" s="8"/>
      <c r="L30" s="8"/>
      <c r="M30" s="8"/>
      <c r="N30" s="8"/>
    </row>
    <row r="31" spans="1:14" ht="20.45" customHeight="1" x14ac:dyDescent="0.2">
      <c r="A31" s="12" t="s">
        <v>456</v>
      </c>
      <c r="B31" s="12" t="s">
        <v>467</v>
      </c>
      <c r="C31" s="5">
        <v>3</v>
      </c>
      <c r="D31" s="6" t="s">
        <v>211</v>
      </c>
      <c r="E31" s="7" t="s">
        <v>167</v>
      </c>
      <c r="F31" s="7" t="s">
        <v>168</v>
      </c>
      <c r="G31" s="7" t="s">
        <v>212</v>
      </c>
      <c r="H31" s="7" t="s">
        <v>170</v>
      </c>
      <c r="I31" s="8"/>
      <c r="J31" s="8"/>
      <c r="K31" s="8"/>
      <c r="L31" s="8"/>
      <c r="M31" s="8"/>
      <c r="N31" s="8"/>
    </row>
    <row r="32" spans="1:14" ht="20.45" customHeight="1" x14ac:dyDescent="0.2">
      <c r="B32" s="12" t="s">
        <v>467</v>
      </c>
      <c r="C32" s="5">
        <v>39</v>
      </c>
      <c r="D32" s="6" t="s">
        <v>213</v>
      </c>
      <c r="E32" s="7" t="s">
        <v>167</v>
      </c>
      <c r="F32" s="7" t="s">
        <v>168</v>
      </c>
      <c r="G32" s="7" t="s">
        <v>214</v>
      </c>
      <c r="H32" s="7" t="s">
        <v>170</v>
      </c>
      <c r="I32" s="8"/>
      <c r="J32" s="8"/>
      <c r="K32" s="8"/>
      <c r="L32" s="8"/>
      <c r="M32" s="8"/>
      <c r="N32" s="8"/>
    </row>
    <row r="33" spans="1:14" ht="20.45" customHeight="1" x14ac:dyDescent="0.2">
      <c r="A33" s="12" t="s">
        <v>456</v>
      </c>
      <c r="B33" s="12" t="s">
        <v>467</v>
      </c>
      <c r="C33" s="5">
        <v>2</v>
      </c>
      <c r="D33" s="6" t="s">
        <v>215</v>
      </c>
      <c r="E33" s="7" t="s">
        <v>167</v>
      </c>
      <c r="F33" s="7" t="s">
        <v>168</v>
      </c>
      <c r="G33" s="7" t="s">
        <v>216</v>
      </c>
      <c r="H33" s="7" t="s">
        <v>170</v>
      </c>
      <c r="I33" s="8"/>
      <c r="J33" s="8"/>
      <c r="K33" s="8"/>
      <c r="L33" s="8"/>
      <c r="M33" s="8"/>
      <c r="N33" s="8"/>
    </row>
    <row r="34" spans="1:14" ht="20.45" customHeight="1" x14ac:dyDescent="0.2">
      <c r="A34" s="12" t="s">
        <v>456</v>
      </c>
      <c r="B34" s="12" t="s">
        <v>467</v>
      </c>
      <c r="C34" s="5">
        <v>1</v>
      </c>
      <c r="D34" s="6" t="s">
        <v>217</v>
      </c>
      <c r="E34" s="7" t="s">
        <v>167</v>
      </c>
      <c r="F34" s="7" t="s">
        <v>168</v>
      </c>
      <c r="G34" s="7" t="s">
        <v>218</v>
      </c>
      <c r="H34" s="7" t="s">
        <v>170</v>
      </c>
      <c r="I34" s="8"/>
      <c r="J34" s="8"/>
      <c r="K34" s="8"/>
      <c r="L34" s="8"/>
      <c r="M34" s="8"/>
      <c r="N34" s="8"/>
    </row>
    <row r="35" spans="1:14" ht="20.45" customHeight="1" x14ac:dyDescent="0.2">
      <c r="A35" s="12" t="s">
        <v>456</v>
      </c>
      <c r="B35" s="12" t="s">
        <v>467</v>
      </c>
      <c r="C35" s="5">
        <v>3</v>
      </c>
      <c r="D35" s="6" t="s">
        <v>219</v>
      </c>
      <c r="E35" s="7" t="s">
        <v>167</v>
      </c>
      <c r="F35" s="7" t="s">
        <v>168</v>
      </c>
      <c r="G35" s="7" t="s">
        <v>220</v>
      </c>
      <c r="H35" s="7" t="s">
        <v>170</v>
      </c>
      <c r="I35" s="8"/>
      <c r="J35" s="8"/>
      <c r="K35" s="8"/>
      <c r="L35" s="8"/>
      <c r="M35" s="8"/>
      <c r="N35" s="8"/>
    </row>
    <row r="36" spans="1:14" ht="20.45" customHeight="1" x14ac:dyDescent="0.2">
      <c r="B36" s="12" t="s">
        <v>467</v>
      </c>
      <c r="C36" s="5">
        <v>1</v>
      </c>
      <c r="D36" s="6" t="s">
        <v>221</v>
      </c>
      <c r="E36" s="7" t="s">
        <v>172</v>
      </c>
      <c r="F36" s="7" t="s">
        <v>173</v>
      </c>
      <c r="G36" s="7" t="s">
        <v>222</v>
      </c>
      <c r="H36" s="7" t="s">
        <v>170</v>
      </c>
      <c r="I36" s="8"/>
      <c r="J36" s="8"/>
      <c r="K36" s="8"/>
      <c r="L36" s="8"/>
      <c r="M36" s="8"/>
      <c r="N36" s="8"/>
    </row>
    <row r="37" spans="1:14" ht="20.45" customHeight="1" x14ac:dyDescent="0.2">
      <c r="B37" s="12" t="s">
        <v>467</v>
      </c>
      <c r="C37" s="5">
        <v>5</v>
      </c>
      <c r="D37" s="6" t="s">
        <v>221</v>
      </c>
      <c r="E37" s="7" t="s">
        <v>167</v>
      </c>
      <c r="F37" s="7" t="s">
        <v>168</v>
      </c>
      <c r="G37" s="7" t="s">
        <v>223</v>
      </c>
      <c r="H37" s="7" t="s">
        <v>170</v>
      </c>
      <c r="I37" s="8"/>
      <c r="J37" s="8"/>
      <c r="K37" s="8"/>
      <c r="L37" s="8"/>
      <c r="M37" s="8"/>
      <c r="N37" s="8"/>
    </row>
    <row r="38" spans="1:14" ht="20.45" customHeight="1" x14ac:dyDescent="0.2">
      <c r="A38" s="12" t="s">
        <v>456</v>
      </c>
      <c r="B38" s="12" t="s">
        <v>467</v>
      </c>
      <c r="C38" s="5">
        <v>3</v>
      </c>
      <c r="D38" s="6" t="s">
        <v>224</v>
      </c>
      <c r="E38" s="7" t="s">
        <v>167</v>
      </c>
      <c r="F38" s="7" t="s">
        <v>168</v>
      </c>
      <c r="G38" s="7" t="s">
        <v>225</v>
      </c>
      <c r="H38" s="7" t="s">
        <v>170</v>
      </c>
      <c r="I38" s="8"/>
      <c r="J38" s="8"/>
      <c r="K38" s="8"/>
      <c r="L38" s="8"/>
      <c r="M38" s="8"/>
      <c r="N38" s="8"/>
    </row>
    <row r="39" spans="1:14" ht="20.45" customHeight="1" x14ac:dyDescent="0.2">
      <c r="B39" s="12" t="s">
        <v>467</v>
      </c>
      <c r="C39" s="5">
        <v>3</v>
      </c>
      <c r="D39" s="6" t="s">
        <v>226</v>
      </c>
      <c r="E39" s="7" t="s">
        <v>167</v>
      </c>
      <c r="F39" s="7" t="s">
        <v>168</v>
      </c>
      <c r="G39" s="7" t="s">
        <v>227</v>
      </c>
      <c r="H39" s="7" t="s">
        <v>170</v>
      </c>
      <c r="I39" s="8"/>
      <c r="J39" s="8"/>
      <c r="K39" s="8"/>
      <c r="L39" s="8"/>
      <c r="M39" s="8"/>
      <c r="N39" s="8"/>
    </row>
    <row r="40" spans="1:14" ht="20.45" customHeight="1" x14ac:dyDescent="0.2">
      <c r="B40" s="12" t="s">
        <v>467</v>
      </c>
      <c r="C40" s="5">
        <v>7</v>
      </c>
      <c r="D40" s="6" t="s">
        <v>233</v>
      </c>
      <c r="E40" s="7" t="s">
        <v>167</v>
      </c>
      <c r="F40" s="7" t="s">
        <v>168</v>
      </c>
      <c r="G40" s="7" t="s">
        <v>234</v>
      </c>
      <c r="H40" s="7" t="s">
        <v>170</v>
      </c>
      <c r="I40" s="8"/>
      <c r="J40" s="8"/>
      <c r="K40" s="8"/>
      <c r="L40" s="8"/>
      <c r="M40" s="8"/>
      <c r="N40" s="8"/>
    </row>
    <row r="41" spans="1:14" ht="20.45" customHeight="1" x14ac:dyDescent="0.2">
      <c r="A41" s="12" t="s">
        <v>456</v>
      </c>
      <c r="B41" s="12" t="s">
        <v>467</v>
      </c>
      <c r="C41" s="5">
        <v>1</v>
      </c>
      <c r="D41" s="6" t="s">
        <v>235</v>
      </c>
      <c r="E41" s="7" t="s">
        <v>172</v>
      </c>
      <c r="F41" s="7" t="s">
        <v>173</v>
      </c>
      <c r="G41" s="7" t="s">
        <v>236</v>
      </c>
      <c r="H41" s="7" t="s">
        <v>170</v>
      </c>
      <c r="I41" s="8"/>
      <c r="J41" s="8"/>
      <c r="K41" s="8"/>
      <c r="L41" s="8"/>
      <c r="M41" s="8"/>
      <c r="N41" s="8"/>
    </row>
    <row r="42" spans="1:14" ht="20.45" customHeight="1" x14ac:dyDescent="0.2">
      <c r="B42" s="12" t="s">
        <v>467</v>
      </c>
      <c r="C42" s="5">
        <v>4</v>
      </c>
      <c r="D42" s="6" t="s">
        <v>237</v>
      </c>
      <c r="E42" s="7" t="s">
        <v>167</v>
      </c>
      <c r="F42" s="7" t="s">
        <v>168</v>
      </c>
      <c r="G42" s="7" t="s">
        <v>238</v>
      </c>
      <c r="H42" s="7" t="s">
        <v>170</v>
      </c>
      <c r="I42" s="8"/>
      <c r="J42" s="8"/>
      <c r="K42" s="8"/>
      <c r="L42" s="8"/>
      <c r="M42" s="8"/>
      <c r="N42" s="8"/>
    </row>
    <row r="43" spans="1:14" ht="20.45" customHeight="1" x14ac:dyDescent="0.2">
      <c r="B43" s="12" t="s">
        <v>467</v>
      </c>
      <c r="C43" s="5">
        <v>19</v>
      </c>
      <c r="D43" s="6" t="s">
        <v>239</v>
      </c>
      <c r="E43" s="7" t="s">
        <v>167</v>
      </c>
      <c r="F43" s="7" t="s">
        <v>168</v>
      </c>
      <c r="G43" s="7" t="s">
        <v>240</v>
      </c>
      <c r="H43" s="7" t="s">
        <v>170</v>
      </c>
      <c r="I43" s="8"/>
      <c r="J43" s="8"/>
      <c r="K43" s="8"/>
      <c r="L43" s="8"/>
      <c r="M43" s="8"/>
      <c r="N43" s="8"/>
    </row>
    <row r="44" spans="1:14" ht="20.45" customHeight="1" x14ac:dyDescent="0.2">
      <c r="B44" s="12" t="s">
        <v>467</v>
      </c>
      <c r="C44" s="5">
        <v>3</v>
      </c>
      <c r="D44" s="6" t="s">
        <v>241</v>
      </c>
      <c r="E44" s="7" t="s">
        <v>167</v>
      </c>
      <c r="F44" s="7" t="s">
        <v>168</v>
      </c>
      <c r="G44" s="7" t="s">
        <v>242</v>
      </c>
      <c r="H44" s="7" t="s">
        <v>170</v>
      </c>
      <c r="I44" s="8"/>
      <c r="J44" s="8"/>
      <c r="K44" s="8"/>
      <c r="L44" s="8"/>
      <c r="M44" s="8"/>
      <c r="N44" s="8"/>
    </row>
    <row r="45" spans="1:14" ht="20.45" customHeight="1" x14ac:dyDescent="0.2">
      <c r="B45" s="12" t="s">
        <v>467</v>
      </c>
      <c r="C45" s="5">
        <v>1</v>
      </c>
      <c r="D45" s="6" t="s">
        <v>243</v>
      </c>
      <c r="E45" s="7" t="s">
        <v>172</v>
      </c>
      <c r="F45" s="7" t="s">
        <v>173</v>
      </c>
      <c r="G45" s="7" t="s">
        <v>244</v>
      </c>
      <c r="H45" s="7" t="s">
        <v>170</v>
      </c>
      <c r="I45" s="8"/>
      <c r="J45" s="8"/>
      <c r="K45" s="8"/>
      <c r="L45" s="8"/>
      <c r="M45" s="8"/>
      <c r="N45" s="8"/>
    </row>
    <row r="46" spans="1:14" ht="20.45" customHeight="1" x14ac:dyDescent="0.2">
      <c r="B46" s="12" t="s">
        <v>467</v>
      </c>
      <c r="C46" s="5">
        <v>6</v>
      </c>
      <c r="D46" s="6" t="s">
        <v>243</v>
      </c>
      <c r="E46" s="7" t="s">
        <v>167</v>
      </c>
      <c r="F46" s="7" t="s">
        <v>168</v>
      </c>
      <c r="G46" s="7" t="s">
        <v>245</v>
      </c>
      <c r="H46" s="7" t="s">
        <v>170</v>
      </c>
      <c r="I46" s="8"/>
      <c r="J46" s="8"/>
      <c r="K46" s="8"/>
      <c r="L46" s="8"/>
      <c r="M46" s="8"/>
      <c r="N46" s="8"/>
    </row>
    <row r="47" spans="1:14" ht="20.45" customHeight="1" x14ac:dyDescent="0.2">
      <c r="B47" s="12" t="s">
        <v>467</v>
      </c>
      <c r="C47" s="5">
        <v>8</v>
      </c>
      <c r="D47" s="6" t="s">
        <v>246</v>
      </c>
      <c r="E47" s="7" t="s">
        <v>167</v>
      </c>
      <c r="F47" s="7" t="s">
        <v>168</v>
      </c>
      <c r="G47" s="7" t="s">
        <v>247</v>
      </c>
      <c r="H47" s="7" t="s">
        <v>170</v>
      </c>
      <c r="I47" s="8"/>
      <c r="J47" s="8"/>
      <c r="K47" s="8"/>
      <c r="L47" s="8"/>
      <c r="M47" s="8"/>
      <c r="N47" s="8"/>
    </row>
    <row r="48" spans="1:14" ht="20.45" customHeight="1" x14ac:dyDescent="0.2">
      <c r="A48" s="12" t="s">
        <v>456</v>
      </c>
      <c r="B48" s="12" t="s">
        <v>467</v>
      </c>
      <c r="C48" s="5">
        <v>1</v>
      </c>
      <c r="D48" s="6" t="s">
        <v>248</v>
      </c>
      <c r="E48" s="7" t="s">
        <v>167</v>
      </c>
      <c r="F48" s="7" t="s">
        <v>168</v>
      </c>
      <c r="G48" s="7" t="s">
        <v>249</v>
      </c>
      <c r="H48" s="7" t="s">
        <v>170</v>
      </c>
      <c r="I48" s="8"/>
      <c r="J48" s="8"/>
      <c r="K48" s="8"/>
      <c r="L48" s="8"/>
      <c r="M48" s="8"/>
      <c r="N48" s="8"/>
    </row>
    <row r="49" spans="1:14" ht="20.45" customHeight="1" x14ac:dyDescent="0.2">
      <c r="B49" s="12" t="s">
        <v>467</v>
      </c>
      <c r="C49" s="5">
        <v>4</v>
      </c>
      <c r="D49" s="6" t="s">
        <v>250</v>
      </c>
      <c r="E49" s="7" t="s">
        <v>167</v>
      </c>
      <c r="F49" s="7" t="s">
        <v>168</v>
      </c>
      <c r="G49" s="7" t="s">
        <v>251</v>
      </c>
      <c r="H49" s="7" t="s">
        <v>170</v>
      </c>
      <c r="I49" s="8"/>
      <c r="J49" s="8"/>
      <c r="K49" s="8"/>
      <c r="L49" s="8"/>
      <c r="M49" s="8"/>
      <c r="N49" s="8"/>
    </row>
    <row r="50" spans="1:14" ht="20.45" customHeight="1" x14ac:dyDescent="0.2">
      <c r="B50" s="12" t="s">
        <v>467</v>
      </c>
      <c r="C50" s="5">
        <v>4</v>
      </c>
      <c r="D50" s="6" t="s">
        <v>252</v>
      </c>
      <c r="E50" s="7" t="s">
        <v>167</v>
      </c>
      <c r="F50" s="7" t="s">
        <v>168</v>
      </c>
      <c r="G50" s="7" t="s">
        <v>253</v>
      </c>
      <c r="H50" s="7" t="s">
        <v>170</v>
      </c>
      <c r="I50" s="8"/>
      <c r="J50" s="8"/>
      <c r="K50" s="8"/>
      <c r="L50" s="8"/>
      <c r="M50" s="8"/>
      <c r="N50" s="8"/>
    </row>
    <row r="51" spans="1:14" ht="20.45" customHeight="1" x14ac:dyDescent="0.2">
      <c r="B51" s="12" t="s">
        <v>467</v>
      </c>
      <c r="C51" s="5">
        <v>4</v>
      </c>
      <c r="D51" s="6" t="s">
        <v>254</v>
      </c>
      <c r="E51" s="7" t="s">
        <v>172</v>
      </c>
      <c r="F51" s="7" t="s">
        <v>173</v>
      </c>
      <c r="G51" s="7" t="s">
        <v>255</v>
      </c>
      <c r="H51" s="7" t="s">
        <v>170</v>
      </c>
      <c r="I51" s="8"/>
      <c r="J51" s="8"/>
      <c r="K51" s="8"/>
      <c r="L51" s="8"/>
      <c r="M51" s="8"/>
      <c r="N51" s="8"/>
    </row>
    <row r="52" spans="1:14" ht="20.45" customHeight="1" x14ac:dyDescent="0.2">
      <c r="B52" s="12" t="s">
        <v>467</v>
      </c>
      <c r="C52" s="5">
        <v>6</v>
      </c>
      <c r="D52" s="6" t="s">
        <v>254</v>
      </c>
      <c r="E52" s="7" t="s">
        <v>167</v>
      </c>
      <c r="F52" s="7" t="s">
        <v>168</v>
      </c>
      <c r="G52" s="7" t="s">
        <v>256</v>
      </c>
      <c r="H52" s="7" t="s">
        <v>170</v>
      </c>
      <c r="I52" s="8"/>
      <c r="J52" s="8"/>
      <c r="K52" s="8"/>
      <c r="L52" s="8"/>
      <c r="M52" s="8"/>
      <c r="N52" s="8"/>
    </row>
    <row r="53" spans="1:14" ht="20.45" customHeight="1" x14ac:dyDescent="0.2">
      <c r="B53" s="12" t="s">
        <v>467</v>
      </c>
      <c r="C53" s="5">
        <v>2</v>
      </c>
      <c r="D53" s="6" t="s">
        <v>257</v>
      </c>
      <c r="E53" s="7" t="s">
        <v>167</v>
      </c>
      <c r="F53" s="7" t="s">
        <v>168</v>
      </c>
      <c r="G53" s="7" t="s">
        <v>258</v>
      </c>
      <c r="H53" s="7" t="s">
        <v>170</v>
      </c>
      <c r="I53" s="8"/>
      <c r="J53" s="8"/>
      <c r="K53" s="8"/>
      <c r="L53" s="8"/>
      <c r="M53" s="8"/>
      <c r="N53" s="8"/>
    </row>
    <row r="54" spans="1:14" ht="20.45" customHeight="1" x14ac:dyDescent="0.2">
      <c r="B54" s="12" t="s">
        <v>467</v>
      </c>
      <c r="C54" s="5">
        <v>1</v>
      </c>
      <c r="D54" s="6" t="s">
        <v>259</v>
      </c>
      <c r="E54" s="7" t="s">
        <v>167</v>
      </c>
      <c r="F54" s="7" t="s">
        <v>168</v>
      </c>
      <c r="G54" s="7" t="s">
        <v>260</v>
      </c>
      <c r="H54" s="7" t="s">
        <v>170</v>
      </c>
      <c r="I54" s="8"/>
      <c r="J54" s="8"/>
      <c r="K54" s="8"/>
      <c r="L54" s="8"/>
      <c r="M54" s="8"/>
      <c r="N54" s="8"/>
    </row>
    <row r="55" spans="1:14" ht="20.45" customHeight="1" x14ac:dyDescent="0.2">
      <c r="B55" s="12" t="s">
        <v>467</v>
      </c>
      <c r="C55" s="5">
        <v>2</v>
      </c>
      <c r="D55" s="6" t="s">
        <v>261</v>
      </c>
      <c r="E55" s="7" t="s">
        <v>167</v>
      </c>
      <c r="F55" s="7" t="s">
        <v>168</v>
      </c>
      <c r="G55" s="7" t="s">
        <v>262</v>
      </c>
      <c r="H55" s="7" t="s">
        <v>170</v>
      </c>
      <c r="I55" s="8"/>
      <c r="J55" s="8"/>
      <c r="K55" s="8"/>
      <c r="L55" s="8"/>
      <c r="M55" s="8"/>
      <c r="N55" s="8"/>
    </row>
    <row r="56" spans="1:14" ht="20.45" customHeight="1" x14ac:dyDescent="0.2">
      <c r="B56" s="12" t="s">
        <v>467</v>
      </c>
      <c r="C56" s="5">
        <v>13</v>
      </c>
      <c r="D56" s="6" t="s">
        <v>263</v>
      </c>
      <c r="E56" s="7" t="s">
        <v>167</v>
      </c>
      <c r="F56" s="7" t="s">
        <v>168</v>
      </c>
      <c r="G56" s="7" t="s">
        <v>264</v>
      </c>
      <c r="H56" s="7" t="s">
        <v>170</v>
      </c>
      <c r="I56" s="8"/>
      <c r="J56" s="8"/>
      <c r="K56" s="8"/>
      <c r="L56" s="8"/>
      <c r="M56" s="8"/>
      <c r="N56" s="8"/>
    </row>
    <row r="57" spans="1:14" ht="20.45" customHeight="1" x14ac:dyDescent="0.2">
      <c r="B57" s="12" t="s">
        <v>467</v>
      </c>
      <c r="C57" s="5">
        <v>9</v>
      </c>
      <c r="D57" s="6" t="s">
        <v>265</v>
      </c>
      <c r="E57" s="7" t="s">
        <v>167</v>
      </c>
      <c r="F57" s="7" t="s">
        <v>168</v>
      </c>
      <c r="G57" s="7" t="s">
        <v>266</v>
      </c>
      <c r="H57" s="7" t="s">
        <v>170</v>
      </c>
      <c r="I57" s="8"/>
      <c r="J57" s="8"/>
      <c r="K57" s="8"/>
      <c r="L57" s="8"/>
      <c r="M57" s="8"/>
      <c r="N57" s="8"/>
    </row>
    <row r="58" spans="1:14" ht="20.45" customHeight="1" x14ac:dyDescent="0.2">
      <c r="A58" s="12" t="s">
        <v>456</v>
      </c>
      <c r="B58" s="12" t="s">
        <v>467</v>
      </c>
      <c r="C58" s="5">
        <v>3</v>
      </c>
      <c r="D58" s="6" t="s">
        <v>267</v>
      </c>
      <c r="E58" s="7" t="s">
        <v>167</v>
      </c>
      <c r="F58" s="7" t="s">
        <v>168</v>
      </c>
      <c r="G58" s="7" t="s">
        <v>268</v>
      </c>
      <c r="H58" s="7" t="s">
        <v>170</v>
      </c>
      <c r="I58" s="8"/>
      <c r="J58" s="8"/>
      <c r="K58" s="8"/>
      <c r="L58" s="8"/>
      <c r="M58" s="8"/>
      <c r="N58" s="8"/>
    </row>
    <row r="59" spans="1:14" ht="20.45" customHeight="1" x14ac:dyDescent="0.2">
      <c r="B59" s="12" t="s">
        <v>467</v>
      </c>
      <c r="C59" s="5">
        <v>4</v>
      </c>
      <c r="D59" s="6" t="s">
        <v>269</v>
      </c>
      <c r="E59" s="7" t="s">
        <v>167</v>
      </c>
      <c r="F59" s="7" t="s">
        <v>168</v>
      </c>
      <c r="G59" s="7" t="s">
        <v>270</v>
      </c>
      <c r="H59" s="7" t="s">
        <v>170</v>
      </c>
      <c r="I59" s="8"/>
      <c r="J59" s="8"/>
      <c r="K59" s="8"/>
      <c r="L59" s="8"/>
      <c r="M59" s="8"/>
      <c r="N59" s="8"/>
    </row>
    <row r="60" spans="1:14" ht="20.45" customHeight="1" x14ac:dyDescent="0.2">
      <c r="B60" s="12" t="s">
        <v>467</v>
      </c>
      <c r="C60" s="5">
        <v>2</v>
      </c>
      <c r="D60" s="6" t="s">
        <v>271</v>
      </c>
      <c r="E60" s="7" t="s">
        <v>167</v>
      </c>
      <c r="F60" s="7" t="s">
        <v>168</v>
      </c>
      <c r="G60" s="7" t="s">
        <v>272</v>
      </c>
      <c r="H60" s="7" t="s">
        <v>170</v>
      </c>
      <c r="I60" s="8"/>
      <c r="J60" s="8"/>
      <c r="K60" s="8"/>
      <c r="L60" s="8"/>
      <c r="M60" s="8"/>
      <c r="N60" s="8"/>
    </row>
    <row r="61" spans="1:14" ht="20.45" customHeight="1" x14ac:dyDescent="0.2">
      <c r="A61" s="12" t="s">
        <v>456</v>
      </c>
      <c r="B61" s="12" t="s">
        <v>467</v>
      </c>
      <c r="C61" s="5">
        <v>4</v>
      </c>
      <c r="D61" s="6" t="s">
        <v>273</v>
      </c>
      <c r="E61" s="7" t="s">
        <v>167</v>
      </c>
      <c r="F61" s="7" t="s">
        <v>168</v>
      </c>
      <c r="G61" s="7" t="s">
        <v>274</v>
      </c>
      <c r="H61" s="7" t="s">
        <v>170</v>
      </c>
      <c r="I61" s="8"/>
      <c r="J61" s="8"/>
      <c r="K61" s="8"/>
      <c r="L61" s="8"/>
      <c r="M61" s="8"/>
      <c r="N61" s="8"/>
    </row>
    <row r="62" spans="1:14" ht="20.45" customHeight="1" x14ac:dyDescent="0.2">
      <c r="B62" s="12" t="s">
        <v>467</v>
      </c>
      <c r="C62" s="5">
        <v>9</v>
      </c>
      <c r="D62" s="6" t="s">
        <v>275</v>
      </c>
      <c r="E62" s="7" t="s">
        <v>167</v>
      </c>
      <c r="F62" s="7" t="s">
        <v>168</v>
      </c>
      <c r="G62" s="7" t="s">
        <v>276</v>
      </c>
      <c r="H62" s="7" t="s">
        <v>170</v>
      </c>
      <c r="I62" s="8"/>
      <c r="J62" s="8"/>
      <c r="K62" s="8"/>
      <c r="L62" s="8"/>
      <c r="M62" s="8"/>
      <c r="N62" s="8"/>
    </row>
    <row r="63" spans="1:14" ht="20.45" customHeight="1" x14ac:dyDescent="0.2">
      <c r="B63" s="12" t="s">
        <v>467</v>
      </c>
      <c r="C63" s="5">
        <v>9</v>
      </c>
      <c r="D63" s="6" t="s">
        <v>277</v>
      </c>
      <c r="E63" s="7" t="s">
        <v>167</v>
      </c>
      <c r="F63" s="7" t="s">
        <v>168</v>
      </c>
      <c r="G63" s="7" t="s">
        <v>278</v>
      </c>
      <c r="H63" s="7" t="s">
        <v>170</v>
      </c>
      <c r="I63" s="8"/>
      <c r="J63" s="8"/>
      <c r="K63" s="8"/>
      <c r="L63" s="8"/>
      <c r="M63" s="8"/>
      <c r="N63" s="8"/>
    </row>
    <row r="64" spans="1:14" ht="20.45" customHeight="1" x14ac:dyDescent="0.2">
      <c r="A64" s="12" t="s">
        <v>456</v>
      </c>
      <c r="B64" s="12" t="s">
        <v>467</v>
      </c>
      <c r="C64" s="5">
        <v>1</v>
      </c>
      <c r="D64" s="6" t="s">
        <v>279</v>
      </c>
      <c r="E64" s="7" t="s">
        <v>167</v>
      </c>
      <c r="F64" s="7" t="s">
        <v>168</v>
      </c>
      <c r="G64" s="7" t="s">
        <v>280</v>
      </c>
      <c r="H64" s="7" t="s">
        <v>170</v>
      </c>
      <c r="I64" s="8"/>
      <c r="J64" s="8"/>
      <c r="K64" s="8"/>
      <c r="L64" s="8"/>
      <c r="M64" s="8"/>
      <c r="N64" s="8"/>
    </row>
    <row r="65" spans="1:14" ht="20.45" customHeight="1" x14ac:dyDescent="0.2">
      <c r="B65" s="12" t="s">
        <v>467</v>
      </c>
      <c r="C65" s="5">
        <v>4</v>
      </c>
      <c r="D65" s="6" t="s">
        <v>281</v>
      </c>
      <c r="E65" s="7" t="s">
        <v>167</v>
      </c>
      <c r="F65" s="7" t="s">
        <v>168</v>
      </c>
      <c r="G65" s="7" t="s">
        <v>282</v>
      </c>
      <c r="H65" s="7" t="s">
        <v>170</v>
      </c>
      <c r="I65" s="8"/>
      <c r="J65" s="8"/>
      <c r="K65" s="8"/>
      <c r="L65" s="8"/>
      <c r="M65" s="8"/>
      <c r="N65" s="8"/>
    </row>
    <row r="66" spans="1:14" ht="20.45" customHeight="1" x14ac:dyDescent="0.2">
      <c r="B66" s="12" t="s">
        <v>467</v>
      </c>
      <c r="C66" s="5">
        <v>9</v>
      </c>
      <c r="D66" s="6" t="s">
        <v>283</v>
      </c>
      <c r="E66" s="7" t="s">
        <v>167</v>
      </c>
      <c r="F66" s="7" t="s">
        <v>168</v>
      </c>
      <c r="G66" s="7" t="s">
        <v>284</v>
      </c>
      <c r="H66" s="7" t="s">
        <v>170</v>
      </c>
      <c r="I66" s="8"/>
      <c r="J66" s="8"/>
      <c r="K66" s="8"/>
      <c r="L66" s="8"/>
      <c r="M66" s="8"/>
      <c r="N66" s="8"/>
    </row>
    <row r="67" spans="1:14" ht="20.45" customHeight="1" x14ac:dyDescent="0.2">
      <c r="A67" s="12" t="s">
        <v>456</v>
      </c>
      <c r="B67" s="12" t="s">
        <v>467</v>
      </c>
      <c r="C67" s="5">
        <v>3</v>
      </c>
      <c r="D67" s="6" t="s">
        <v>285</v>
      </c>
      <c r="E67" s="7" t="s">
        <v>167</v>
      </c>
      <c r="F67" s="7" t="s">
        <v>168</v>
      </c>
      <c r="G67" s="7" t="s">
        <v>286</v>
      </c>
      <c r="H67" s="7" t="s">
        <v>170</v>
      </c>
      <c r="I67" s="8"/>
      <c r="J67" s="8"/>
      <c r="K67" s="8"/>
      <c r="L67" s="8"/>
      <c r="M67" s="8"/>
      <c r="N67" s="8"/>
    </row>
    <row r="68" spans="1:14" ht="20.45" customHeight="1" x14ac:dyDescent="0.2">
      <c r="B68" s="12" t="s">
        <v>467</v>
      </c>
      <c r="C68" s="5">
        <v>1</v>
      </c>
      <c r="D68" s="6" t="s">
        <v>287</v>
      </c>
      <c r="E68" s="7" t="s">
        <v>172</v>
      </c>
      <c r="F68" s="7" t="s">
        <v>173</v>
      </c>
      <c r="G68" s="7" t="s">
        <v>288</v>
      </c>
      <c r="H68" s="7" t="s">
        <v>170</v>
      </c>
      <c r="I68" s="8"/>
      <c r="J68" s="8"/>
      <c r="K68" s="8"/>
      <c r="L68" s="8"/>
      <c r="M68" s="8"/>
      <c r="N68" s="8"/>
    </row>
    <row r="69" spans="1:14" ht="20.45" customHeight="1" x14ac:dyDescent="0.2">
      <c r="B69" s="12" t="s">
        <v>467</v>
      </c>
      <c r="C69" s="5">
        <v>18</v>
      </c>
      <c r="D69" s="6" t="s">
        <v>287</v>
      </c>
      <c r="E69" s="7" t="s">
        <v>167</v>
      </c>
      <c r="F69" s="7" t="s">
        <v>168</v>
      </c>
      <c r="G69" s="7" t="s">
        <v>289</v>
      </c>
      <c r="H69" s="7" t="s">
        <v>170</v>
      </c>
      <c r="I69" s="8"/>
      <c r="J69" s="8"/>
      <c r="K69" s="8"/>
      <c r="L69" s="8"/>
      <c r="M69" s="8"/>
      <c r="N69" s="8"/>
    </row>
    <row r="70" spans="1:14" ht="20.45" customHeight="1" x14ac:dyDescent="0.2">
      <c r="B70" s="12" t="s">
        <v>467</v>
      </c>
      <c r="C70" s="5">
        <v>1</v>
      </c>
      <c r="D70" s="6" t="s">
        <v>290</v>
      </c>
      <c r="E70" s="7" t="s">
        <v>172</v>
      </c>
      <c r="F70" s="7" t="s">
        <v>173</v>
      </c>
      <c r="G70" s="7" t="s">
        <v>291</v>
      </c>
      <c r="H70" s="7" t="s">
        <v>170</v>
      </c>
      <c r="I70" s="8"/>
      <c r="J70" s="8"/>
      <c r="K70" s="8"/>
      <c r="L70" s="8"/>
      <c r="M70" s="8"/>
      <c r="N70" s="8"/>
    </row>
    <row r="71" spans="1:14" ht="20.45" customHeight="1" x14ac:dyDescent="0.2">
      <c r="B71" s="12" t="s">
        <v>467</v>
      </c>
      <c r="C71" s="5">
        <v>9</v>
      </c>
      <c r="D71" s="6" t="s">
        <v>290</v>
      </c>
      <c r="E71" s="7" t="s">
        <v>167</v>
      </c>
      <c r="F71" s="7" t="s">
        <v>168</v>
      </c>
      <c r="G71" s="7" t="s">
        <v>292</v>
      </c>
      <c r="H71" s="7" t="s">
        <v>170</v>
      </c>
      <c r="I71" s="8"/>
      <c r="J71" s="8"/>
      <c r="K71" s="8"/>
      <c r="L71" s="8"/>
      <c r="M71" s="8"/>
      <c r="N71" s="8"/>
    </row>
    <row r="72" spans="1:14" ht="20.45" customHeight="1" x14ac:dyDescent="0.2">
      <c r="A72" s="12" t="s">
        <v>456</v>
      </c>
      <c r="B72" s="12" t="s">
        <v>467</v>
      </c>
      <c r="C72" s="5">
        <v>2</v>
      </c>
      <c r="D72" s="6" t="s">
        <v>293</v>
      </c>
      <c r="E72" s="7" t="s">
        <v>167</v>
      </c>
      <c r="F72" s="7" t="s">
        <v>168</v>
      </c>
      <c r="G72" s="7" t="s">
        <v>294</v>
      </c>
      <c r="H72" s="7" t="s">
        <v>170</v>
      </c>
      <c r="I72" s="8"/>
      <c r="J72" s="8"/>
      <c r="K72" s="8"/>
      <c r="L72" s="8"/>
      <c r="M72" s="8"/>
      <c r="N72" s="8"/>
    </row>
    <row r="73" spans="1:14" ht="20.45" customHeight="1" x14ac:dyDescent="0.2">
      <c r="A73" s="12" t="s">
        <v>456</v>
      </c>
      <c r="B73" s="12" t="s">
        <v>467</v>
      </c>
      <c r="C73" s="5">
        <v>1</v>
      </c>
      <c r="D73" s="6" t="s">
        <v>295</v>
      </c>
      <c r="E73" s="7" t="s">
        <v>167</v>
      </c>
      <c r="F73" s="7" t="s">
        <v>168</v>
      </c>
      <c r="G73" s="7" t="s">
        <v>296</v>
      </c>
      <c r="H73" s="7" t="s">
        <v>170</v>
      </c>
      <c r="I73" s="8"/>
      <c r="J73" s="8"/>
      <c r="K73" s="8"/>
      <c r="L73" s="8"/>
      <c r="M73" s="8"/>
      <c r="N73" s="8"/>
    </row>
    <row r="74" spans="1:14" ht="20.45" customHeight="1" x14ac:dyDescent="0.2">
      <c r="B74" s="12" t="s">
        <v>467</v>
      </c>
      <c r="C74" s="5">
        <v>4</v>
      </c>
      <c r="D74" s="6" t="s">
        <v>297</v>
      </c>
      <c r="E74" s="7" t="s">
        <v>167</v>
      </c>
      <c r="F74" s="7" t="s">
        <v>168</v>
      </c>
      <c r="G74" s="7" t="s">
        <v>298</v>
      </c>
      <c r="H74" s="7" t="s">
        <v>170</v>
      </c>
      <c r="I74" s="8"/>
      <c r="J74" s="8"/>
      <c r="K74" s="8"/>
      <c r="L74" s="8"/>
      <c r="M74" s="8"/>
      <c r="N74" s="8"/>
    </row>
    <row r="75" spans="1:14" ht="20.45" customHeight="1" x14ac:dyDescent="0.2">
      <c r="A75" s="12" t="s">
        <v>456</v>
      </c>
      <c r="B75" s="12" t="s">
        <v>467</v>
      </c>
      <c r="C75" s="5">
        <v>2</v>
      </c>
      <c r="D75" s="6" t="s">
        <v>299</v>
      </c>
      <c r="E75" s="7" t="s">
        <v>167</v>
      </c>
      <c r="F75" s="7" t="s">
        <v>168</v>
      </c>
      <c r="G75" s="7" t="s">
        <v>300</v>
      </c>
      <c r="H75" s="7" t="s">
        <v>170</v>
      </c>
      <c r="I75" s="8"/>
      <c r="J75" s="8"/>
      <c r="K75" s="8"/>
      <c r="L75" s="8"/>
      <c r="M75" s="8"/>
      <c r="N75" s="8"/>
    </row>
    <row r="76" spans="1:14" ht="20.45" customHeight="1" x14ac:dyDescent="0.2">
      <c r="A76" s="12" t="s">
        <v>456</v>
      </c>
      <c r="B76" s="12" t="s">
        <v>467</v>
      </c>
      <c r="C76" s="5">
        <v>2</v>
      </c>
      <c r="D76" s="6" t="s">
        <v>301</v>
      </c>
      <c r="E76" s="7" t="s">
        <v>167</v>
      </c>
      <c r="F76" s="7" t="s">
        <v>168</v>
      </c>
      <c r="G76" s="7" t="s">
        <v>302</v>
      </c>
      <c r="H76" s="7" t="s">
        <v>170</v>
      </c>
      <c r="I76" s="8"/>
      <c r="J76" s="8"/>
      <c r="K76" s="8"/>
      <c r="L76" s="8"/>
      <c r="M76" s="8"/>
      <c r="N76" s="8"/>
    </row>
    <row r="77" spans="1:14" ht="20.45" customHeight="1" x14ac:dyDescent="0.2">
      <c r="A77" s="12" t="s">
        <v>456</v>
      </c>
      <c r="B77" s="12" t="s">
        <v>467</v>
      </c>
      <c r="C77" s="5">
        <v>8</v>
      </c>
      <c r="D77" s="6" t="s">
        <v>303</v>
      </c>
      <c r="E77" s="7" t="s">
        <v>167</v>
      </c>
      <c r="F77" s="7" t="s">
        <v>168</v>
      </c>
      <c r="G77" s="7" t="s">
        <v>304</v>
      </c>
      <c r="H77" s="7" t="s">
        <v>170</v>
      </c>
      <c r="I77" s="8"/>
      <c r="J77" s="8"/>
      <c r="K77" s="8"/>
      <c r="L77" s="8"/>
      <c r="M77" s="8"/>
      <c r="N77" s="8"/>
    </row>
    <row r="78" spans="1:14" ht="20.45" customHeight="1" x14ac:dyDescent="0.2">
      <c r="B78" s="12" t="s">
        <v>467</v>
      </c>
      <c r="C78" s="5">
        <v>1</v>
      </c>
      <c r="D78" s="6" t="s">
        <v>305</v>
      </c>
      <c r="E78" s="7" t="s">
        <v>167</v>
      </c>
      <c r="F78" s="7" t="s">
        <v>168</v>
      </c>
      <c r="G78" s="7" t="s">
        <v>306</v>
      </c>
      <c r="H78" s="7" t="s">
        <v>170</v>
      </c>
      <c r="I78" s="8"/>
      <c r="J78" s="8"/>
      <c r="K78" s="8"/>
      <c r="L78" s="8"/>
      <c r="M78" s="8"/>
      <c r="N78" s="8"/>
    </row>
    <row r="79" spans="1:14" ht="20.45" customHeight="1" x14ac:dyDescent="0.2">
      <c r="B79" s="12" t="s">
        <v>467</v>
      </c>
      <c r="C79" s="5">
        <v>9</v>
      </c>
      <c r="D79" s="6" t="s">
        <v>307</v>
      </c>
      <c r="E79" s="7" t="s">
        <v>167</v>
      </c>
      <c r="F79" s="7" t="s">
        <v>168</v>
      </c>
      <c r="G79" s="7" t="s">
        <v>308</v>
      </c>
      <c r="H79" s="7" t="s">
        <v>170</v>
      </c>
      <c r="I79" s="8"/>
      <c r="J79" s="8"/>
      <c r="K79" s="8"/>
      <c r="L79" s="8"/>
      <c r="M79" s="8"/>
      <c r="N79" s="8"/>
    </row>
    <row r="80" spans="1:14" ht="20.45" customHeight="1" x14ac:dyDescent="0.2">
      <c r="A80" s="12" t="s">
        <v>456</v>
      </c>
      <c r="B80" s="12" t="s">
        <v>467</v>
      </c>
      <c r="C80" s="5">
        <v>1</v>
      </c>
      <c r="D80" s="6" t="s">
        <v>309</v>
      </c>
      <c r="E80" s="7" t="s">
        <v>167</v>
      </c>
      <c r="F80" s="7" t="s">
        <v>168</v>
      </c>
      <c r="G80" s="7" t="s">
        <v>310</v>
      </c>
      <c r="H80" s="7" t="s">
        <v>170</v>
      </c>
      <c r="I80" s="8"/>
      <c r="J80" s="8"/>
      <c r="K80" s="8"/>
      <c r="L80" s="8"/>
      <c r="M80" s="8"/>
      <c r="N80" s="8"/>
    </row>
    <row r="81" spans="1:258" ht="20.45" customHeight="1" x14ac:dyDescent="0.2">
      <c r="B81" s="12" t="s">
        <v>467</v>
      </c>
      <c r="C81" s="5">
        <v>2</v>
      </c>
      <c r="D81" s="6" t="s">
        <v>311</v>
      </c>
      <c r="E81" s="7" t="s">
        <v>167</v>
      </c>
      <c r="F81" s="7" t="s">
        <v>168</v>
      </c>
      <c r="G81" s="7" t="s">
        <v>312</v>
      </c>
      <c r="H81" s="7" t="s">
        <v>170</v>
      </c>
      <c r="I81" s="8"/>
      <c r="J81" s="8"/>
      <c r="K81" s="8"/>
      <c r="L81" s="8"/>
      <c r="M81" s="8"/>
      <c r="N81" s="8"/>
    </row>
    <row r="82" spans="1:258" ht="20.45" customHeight="1" x14ac:dyDescent="0.2">
      <c r="B82" s="12" t="s">
        <v>467</v>
      </c>
      <c r="C82" s="5">
        <v>4</v>
      </c>
      <c r="D82" s="6" t="s">
        <v>313</v>
      </c>
      <c r="E82" s="7" t="s">
        <v>167</v>
      </c>
      <c r="F82" s="7" t="s">
        <v>168</v>
      </c>
      <c r="G82" s="7" t="s">
        <v>314</v>
      </c>
      <c r="H82" s="7" t="s">
        <v>170</v>
      </c>
      <c r="I82" s="8"/>
      <c r="J82" s="8"/>
      <c r="K82" s="8"/>
      <c r="L82" s="8"/>
      <c r="M82" s="8"/>
      <c r="N82" s="8"/>
    </row>
    <row r="83" spans="1:258" ht="20.45" customHeight="1" x14ac:dyDescent="0.2">
      <c r="A83" s="12" t="s">
        <v>456</v>
      </c>
      <c r="B83" s="12" t="s">
        <v>467</v>
      </c>
      <c r="C83" s="5">
        <v>3</v>
      </c>
      <c r="D83" s="6" t="s">
        <v>315</v>
      </c>
      <c r="E83" s="7" t="s">
        <v>167</v>
      </c>
      <c r="F83" s="7" t="s">
        <v>168</v>
      </c>
      <c r="G83" s="7" t="s">
        <v>316</v>
      </c>
      <c r="H83" s="7" t="s">
        <v>170</v>
      </c>
      <c r="I83" s="8"/>
      <c r="J83" s="8"/>
      <c r="K83" s="8"/>
      <c r="L83" s="8"/>
      <c r="M83" s="8"/>
      <c r="N83" s="8"/>
    </row>
    <row r="84" spans="1:258" ht="20.45" customHeight="1" x14ac:dyDescent="0.2">
      <c r="B84" s="12" t="s">
        <v>467</v>
      </c>
      <c r="C84" s="5">
        <v>1</v>
      </c>
      <c r="D84" s="6" t="s">
        <v>317</v>
      </c>
      <c r="E84" s="7" t="s">
        <v>167</v>
      </c>
      <c r="F84" s="7" t="s">
        <v>168</v>
      </c>
      <c r="G84" s="7" t="s">
        <v>318</v>
      </c>
      <c r="H84" s="7" t="s">
        <v>170</v>
      </c>
      <c r="I84" s="8"/>
      <c r="J84" s="8"/>
      <c r="K84" s="8"/>
      <c r="L84" s="8"/>
      <c r="M84" s="8"/>
      <c r="N84" s="8"/>
    </row>
    <row r="85" spans="1:258" ht="20.45" customHeight="1" x14ac:dyDescent="0.2">
      <c r="A85" s="12" t="s">
        <v>456</v>
      </c>
      <c r="B85" s="12" t="s">
        <v>467</v>
      </c>
      <c r="C85" s="5">
        <v>3</v>
      </c>
      <c r="D85" s="6" t="s">
        <v>319</v>
      </c>
      <c r="E85" s="7" t="s">
        <v>167</v>
      </c>
      <c r="F85" s="7" t="s">
        <v>168</v>
      </c>
      <c r="G85" s="7" t="s">
        <v>320</v>
      </c>
      <c r="H85" s="7" t="s">
        <v>170</v>
      </c>
      <c r="I85" s="8"/>
      <c r="J85" s="8"/>
      <c r="K85" s="8"/>
      <c r="L85" s="8"/>
      <c r="M85" s="8"/>
      <c r="N85" s="8"/>
    </row>
    <row r="86" spans="1:258" ht="20.45" customHeight="1" x14ac:dyDescent="0.2">
      <c r="A86" s="12" t="s">
        <v>456</v>
      </c>
      <c r="B86" s="12" t="s">
        <v>467</v>
      </c>
      <c r="C86" s="5">
        <v>1</v>
      </c>
      <c r="D86" s="6" t="s">
        <v>321</v>
      </c>
      <c r="E86" s="7" t="s">
        <v>167</v>
      </c>
      <c r="F86" s="7" t="s">
        <v>168</v>
      </c>
      <c r="G86" s="7" t="s">
        <v>322</v>
      </c>
      <c r="H86" s="7" t="s">
        <v>170</v>
      </c>
      <c r="I86" s="8"/>
      <c r="J86" s="8"/>
      <c r="K86" s="8"/>
      <c r="L86" s="8"/>
      <c r="M86" s="8"/>
      <c r="N86" s="8"/>
    </row>
    <row r="87" spans="1:258" ht="20.45" customHeight="1" x14ac:dyDescent="0.2">
      <c r="A87" s="12" t="s">
        <v>456</v>
      </c>
      <c r="B87" s="25" t="s">
        <v>421</v>
      </c>
      <c r="C87" s="26">
        <v>1</v>
      </c>
      <c r="D87" s="27" t="s">
        <v>332</v>
      </c>
      <c r="E87" s="28" t="s">
        <v>333</v>
      </c>
      <c r="F87" s="28" t="s">
        <v>334</v>
      </c>
      <c r="G87" s="28" t="s">
        <v>335</v>
      </c>
      <c r="H87" s="8"/>
      <c r="I87" s="8"/>
      <c r="J87" s="8"/>
      <c r="K87" s="8"/>
      <c r="L87" s="8"/>
      <c r="M87" s="8"/>
      <c r="N87" s="8"/>
    </row>
    <row r="88" spans="1:258" ht="20.45" customHeight="1" x14ac:dyDescent="0.2">
      <c r="A88" s="12" t="s">
        <v>456</v>
      </c>
      <c r="B88" s="25" t="s">
        <v>421</v>
      </c>
      <c r="C88" s="26">
        <v>21</v>
      </c>
      <c r="D88" s="27" t="s">
        <v>37</v>
      </c>
      <c r="E88" s="28" t="s">
        <v>38</v>
      </c>
      <c r="F88" s="28" t="s">
        <v>39</v>
      </c>
      <c r="G88" s="28" t="s">
        <v>40</v>
      </c>
      <c r="H88" s="7" t="s">
        <v>41</v>
      </c>
      <c r="I88" s="8"/>
      <c r="J88" s="8"/>
      <c r="K88" s="8"/>
      <c r="L88" s="8"/>
      <c r="M88" s="8"/>
      <c r="N88" s="8"/>
    </row>
    <row r="89" spans="1:258" ht="20.45" customHeight="1" x14ac:dyDescent="0.2">
      <c r="A89" s="12" t="s">
        <v>456</v>
      </c>
      <c r="B89" s="25" t="s">
        <v>421</v>
      </c>
      <c r="C89" s="26">
        <v>30</v>
      </c>
      <c r="D89" s="27" t="s">
        <v>42</v>
      </c>
      <c r="E89" s="28" t="s">
        <v>38</v>
      </c>
      <c r="F89" s="28" t="s">
        <v>39</v>
      </c>
      <c r="G89" s="28" t="s">
        <v>43</v>
      </c>
      <c r="H89" s="7" t="s">
        <v>41</v>
      </c>
      <c r="I89" s="8"/>
      <c r="J89" s="8"/>
      <c r="K89" s="8"/>
      <c r="L89" s="8"/>
      <c r="M89" s="8"/>
      <c r="N89" s="8"/>
    </row>
    <row r="90" spans="1:258" ht="20.45" customHeight="1" x14ac:dyDescent="0.2">
      <c r="A90" s="12" t="s">
        <v>456</v>
      </c>
      <c r="B90" s="25" t="s">
        <v>422</v>
      </c>
      <c r="C90" s="26">
        <v>6</v>
      </c>
      <c r="D90" s="27" t="s">
        <v>44</v>
      </c>
      <c r="E90" s="28" t="s">
        <v>38</v>
      </c>
      <c r="F90" s="28" t="s">
        <v>39</v>
      </c>
      <c r="G90" s="28" t="s">
        <v>45</v>
      </c>
      <c r="H90" s="7" t="s">
        <v>41</v>
      </c>
      <c r="I90" s="8"/>
      <c r="J90" s="8"/>
      <c r="K90" s="8"/>
      <c r="L90" s="8"/>
      <c r="M90" s="8"/>
      <c r="N90" s="8"/>
    </row>
    <row r="91" spans="1:258" s="18" customFormat="1" ht="20.45" customHeight="1" x14ac:dyDescent="0.2">
      <c r="A91" s="17" t="s">
        <v>456</v>
      </c>
      <c r="B91" s="17" t="s">
        <v>424</v>
      </c>
      <c r="C91" s="29">
        <v>4</v>
      </c>
      <c r="D91" s="30" t="s">
        <v>228</v>
      </c>
      <c r="E91" s="31" t="s">
        <v>167</v>
      </c>
      <c r="F91" s="31" t="s">
        <v>168</v>
      </c>
      <c r="G91" s="31" t="s">
        <v>229</v>
      </c>
      <c r="H91" s="31" t="s">
        <v>170</v>
      </c>
      <c r="I91" s="32"/>
      <c r="J91" s="32"/>
      <c r="K91" s="32"/>
      <c r="L91" s="32"/>
      <c r="M91" s="32"/>
      <c r="N91" s="32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  <c r="BU91" s="33"/>
      <c r="BV91" s="33"/>
      <c r="BW91" s="33"/>
      <c r="BX91" s="33"/>
      <c r="BY91" s="33"/>
      <c r="BZ91" s="33"/>
      <c r="CA91" s="33"/>
      <c r="CB91" s="33"/>
      <c r="CC91" s="33"/>
      <c r="CD91" s="33"/>
      <c r="CE91" s="33"/>
      <c r="CF91" s="33"/>
      <c r="CG91" s="33"/>
      <c r="CH91" s="33"/>
      <c r="CI91" s="33"/>
      <c r="CJ91" s="33"/>
      <c r="CK91" s="33"/>
      <c r="CL91" s="33"/>
      <c r="CM91" s="33"/>
      <c r="CN91" s="33"/>
      <c r="CO91" s="33"/>
      <c r="CP91" s="33"/>
      <c r="CQ91" s="33"/>
      <c r="CR91" s="33"/>
      <c r="CS91" s="33"/>
      <c r="CT91" s="33"/>
      <c r="CU91" s="33"/>
      <c r="CV91" s="33"/>
      <c r="CW91" s="33"/>
      <c r="CX91" s="33"/>
      <c r="CY91" s="33"/>
      <c r="CZ91" s="33"/>
      <c r="DA91" s="33"/>
      <c r="DB91" s="33"/>
      <c r="DC91" s="33"/>
      <c r="DD91" s="33"/>
      <c r="DE91" s="33"/>
      <c r="DF91" s="33"/>
      <c r="DG91" s="33"/>
      <c r="DH91" s="33"/>
      <c r="DI91" s="33"/>
      <c r="DJ91" s="33"/>
      <c r="DK91" s="33"/>
      <c r="DL91" s="33"/>
      <c r="DM91" s="33"/>
      <c r="DN91" s="33"/>
      <c r="DO91" s="33"/>
      <c r="DP91" s="33"/>
      <c r="DQ91" s="33"/>
      <c r="DR91" s="33"/>
      <c r="DS91" s="33"/>
      <c r="DT91" s="33"/>
      <c r="DU91" s="33"/>
      <c r="DV91" s="33"/>
      <c r="DW91" s="33"/>
      <c r="DX91" s="33"/>
      <c r="DY91" s="33"/>
      <c r="DZ91" s="33"/>
      <c r="EA91" s="33"/>
      <c r="EB91" s="33"/>
      <c r="EC91" s="33"/>
      <c r="ED91" s="33"/>
      <c r="EE91" s="33"/>
      <c r="EF91" s="33"/>
      <c r="EG91" s="33"/>
      <c r="EH91" s="33"/>
      <c r="EI91" s="33"/>
      <c r="EJ91" s="33"/>
      <c r="EK91" s="33"/>
      <c r="EL91" s="33"/>
      <c r="EM91" s="33"/>
      <c r="EN91" s="33"/>
      <c r="EO91" s="33"/>
      <c r="EP91" s="33"/>
      <c r="EQ91" s="33"/>
      <c r="ER91" s="33"/>
      <c r="ES91" s="33"/>
      <c r="ET91" s="33"/>
      <c r="EU91" s="33"/>
      <c r="EV91" s="33"/>
      <c r="EW91" s="33"/>
      <c r="EX91" s="33"/>
      <c r="EY91" s="33"/>
      <c r="EZ91" s="33"/>
      <c r="FA91" s="33"/>
      <c r="FB91" s="33"/>
      <c r="FC91" s="33"/>
      <c r="FD91" s="33"/>
      <c r="FE91" s="33"/>
      <c r="FF91" s="33"/>
      <c r="FG91" s="33"/>
      <c r="FH91" s="33"/>
      <c r="FI91" s="33"/>
      <c r="FJ91" s="33"/>
      <c r="FK91" s="33"/>
      <c r="FL91" s="33"/>
      <c r="FM91" s="33"/>
      <c r="FN91" s="33"/>
      <c r="FO91" s="33"/>
      <c r="FP91" s="33"/>
      <c r="FQ91" s="33"/>
      <c r="FR91" s="33"/>
      <c r="FS91" s="33"/>
      <c r="FT91" s="33"/>
      <c r="FU91" s="33"/>
      <c r="FV91" s="33"/>
      <c r="FW91" s="33"/>
      <c r="FX91" s="33"/>
      <c r="FY91" s="33"/>
      <c r="FZ91" s="33"/>
      <c r="GA91" s="33"/>
      <c r="GB91" s="33"/>
      <c r="GC91" s="33"/>
      <c r="GD91" s="33"/>
      <c r="GE91" s="33"/>
      <c r="GF91" s="33"/>
      <c r="GG91" s="33"/>
      <c r="GH91" s="33"/>
      <c r="GI91" s="33"/>
      <c r="GJ91" s="33"/>
      <c r="GK91" s="33"/>
      <c r="GL91" s="33"/>
      <c r="GM91" s="33"/>
      <c r="GN91" s="33"/>
      <c r="GO91" s="33"/>
      <c r="GP91" s="33"/>
      <c r="GQ91" s="33"/>
      <c r="GR91" s="33"/>
      <c r="GS91" s="33"/>
      <c r="GT91" s="33"/>
      <c r="GU91" s="33"/>
      <c r="GV91" s="33"/>
      <c r="GW91" s="33"/>
      <c r="GX91" s="33"/>
      <c r="GY91" s="33"/>
      <c r="GZ91" s="33"/>
      <c r="HA91" s="33"/>
      <c r="HB91" s="33"/>
      <c r="HC91" s="33"/>
      <c r="HD91" s="33"/>
      <c r="HE91" s="33"/>
      <c r="HF91" s="33"/>
      <c r="HG91" s="33"/>
      <c r="HH91" s="33"/>
      <c r="HI91" s="33"/>
      <c r="HJ91" s="33"/>
      <c r="HK91" s="33"/>
      <c r="HL91" s="33"/>
      <c r="HM91" s="33"/>
      <c r="HN91" s="33"/>
      <c r="HO91" s="33"/>
      <c r="HP91" s="33"/>
      <c r="HQ91" s="33"/>
      <c r="HR91" s="33"/>
      <c r="HS91" s="33"/>
      <c r="HT91" s="33"/>
      <c r="HU91" s="33"/>
      <c r="HV91" s="33"/>
      <c r="HW91" s="33"/>
      <c r="HX91" s="33"/>
      <c r="HY91" s="33"/>
      <c r="HZ91" s="33"/>
      <c r="IA91" s="33"/>
      <c r="IB91" s="33"/>
      <c r="IC91" s="33"/>
      <c r="ID91" s="33"/>
      <c r="IE91" s="33"/>
      <c r="IF91" s="33"/>
      <c r="IG91" s="33"/>
      <c r="IH91" s="33"/>
      <c r="II91" s="33"/>
      <c r="IJ91" s="33"/>
      <c r="IK91" s="33"/>
      <c r="IL91" s="33"/>
      <c r="IM91" s="33"/>
      <c r="IN91" s="33"/>
      <c r="IO91" s="33"/>
      <c r="IP91" s="33"/>
      <c r="IQ91" s="33"/>
      <c r="IR91" s="33"/>
      <c r="IS91" s="33"/>
      <c r="IT91" s="33"/>
      <c r="IU91" s="33"/>
      <c r="IV91" s="33"/>
      <c r="IW91" s="33"/>
      <c r="IX91" s="33"/>
    </row>
    <row r="92" spans="1:258" s="18" customFormat="1" ht="20.45" customHeight="1" x14ac:dyDescent="0.2">
      <c r="A92" s="17" t="s">
        <v>456</v>
      </c>
      <c r="B92" s="17" t="s">
        <v>432</v>
      </c>
      <c r="C92" s="29">
        <v>1</v>
      </c>
      <c r="D92" s="30" t="s">
        <v>228</v>
      </c>
      <c r="E92" s="31" t="s">
        <v>230</v>
      </c>
      <c r="F92" s="31" t="s">
        <v>231</v>
      </c>
      <c r="G92" s="31" t="s">
        <v>232</v>
      </c>
      <c r="H92" s="31" t="s">
        <v>170</v>
      </c>
      <c r="I92" s="32"/>
      <c r="J92" s="32"/>
      <c r="K92" s="32"/>
      <c r="L92" s="32"/>
      <c r="M92" s="32"/>
      <c r="N92" s="32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33"/>
      <c r="BU92" s="33"/>
      <c r="BV92" s="33"/>
      <c r="BW92" s="33"/>
      <c r="BX92" s="33"/>
      <c r="BY92" s="33"/>
      <c r="BZ92" s="33"/>
      <c r="CA92" s="33"/>
      <c r="CB92" s="33"/>
      <c r="CC92" s="33"/>
      <c r="CD92" s="33"/>
      <c r="CE92" s="33"/>
      <c r="CF92" s="33"/>
      <c r="CG92" s="33"/>
      <c r="CH92" s="33"/>
      <c r="CI92" s="33"/>
      <c r="CJ92" s="33"/>
      <c r="CK92" s="33"/>
      <c r="CL92" s="33"/>
      <c r="CM92" s="33"/>
      <c r="CN92" s="33"/>
      <c r="CO92" s="33"/>
      <c r="CP92" s="33"/>
      <c r="CQ92" s="33"/>
      <c r="CR92" s="33"/>
      <c r="CS92" s="33"/>
      <c r="CT92" s="33"/>
      <c r="CU92" s="33"/>
      <c r="CV92" s="33"/>
      <c r="CW92" s="33"/>
      <c r="CX92" s="33"/>
      <c r="CY92" s="33"/>
      <c r="CZ92" s="33"/>
      <c r="DA92" s="33"/>
      <c r="DB92" s="33"/>
      <c r="DC92" s="33"/>
      <c r="DD92" s="33"/>
      <c r="DE92" s="33"/>
      <c r="DF92" s="33"/>
      <c r="DG92" s="33"/>
      <c r="DH92" s="33"/>
      <c r="DI92" s="33"/>
      <c r="DJ92" s="33"/>
      <c r="DK92" s="33"/>
      <c r="DL92" s="33"/>
      <c r="DM92" s="33"/>
      <c r="DN92" s="33"/>
      <c r="DO92" s="33"/>
      <c r="DP92" s="33"/>
      <c r="DQ92" s="33"/>
      <c r="DR92" s="33"/>
      <c r="DS92" s="33"/>
      <c r="DT92" s="33"/>
      <c r="DU92" s="33"/>
      <c r="DV92" s="33"/>
      <c r="DW92" s="33"/>
      <c r="DX92" s="33"/>
      <c r="DY92" s="33"/>
      <c r="DZ92" s="33"/>
      <c r="EA92" s="33"/>
      <c r="EB92" s="33"/>
      <c r="EC92" s="33"/>
      <c r="ED92" s="33"/>
      <c r="EE92" s="33"/>
      <c r="EF92" s="33"/>
      <c r="EG92" s="33"/>
      <c r="EH92" s="33"/>
      <c r="EI92" s="33"/>
      <c r="EJ92" s="33"/>
      <c r="EK92" s="33"/>
      <c r="EL92" s="33"/>
      <c r="EM92" s="33"/>
      <c r="EN92" s="33"/>
      <c r="EO92" s="33"/>
      <c r="EP92" s="33"/>
      <c r="EQ92" s="33"/>
      <c r="ER92" s="33"/>
      <c r="ES92" s="33"/>
      <c r="ET92" s="33"/>
      <c r="EU92" s="33"/>
      <c r="EV92" s="33"/>
      <c r="EW92" s="33"/>
      <c r="EX92" s="33"/>
      <c r="EY92" s="33"/>
      <c r="EZ92" s="33"/>
      <c r="FA92" s="33"/>
      <c r="FB92" s="33"/>
      <c r="FC92" s="33"/>
      <c r="FD92" s="33"/>
      <c r="FE92" s="33"/>
      <c r="FF92" s="33"/>
      <c r="FG92" s="33"/>
      <c r="FH92" s="33"/>
      <c r="FI92" s="33"/>
      <c r="FJ92" s="33"/>
      <c r="FK92" s="33"/>
      <c r="FL92" s="33"/>
      <c r="FM92" s="33"/>
      <c r="FN92" s="33"/>
      <c r="FO92" s="33"/>
      <c r="FP92" s="33"/>
      <c r="FQ92" s="33"/>
      <c r="FR92" s="33"/>
      <c r="FS92" s="33"/>
      <c r="FT92" s="33"/>
      <c r="FU92" s="33"/>
      <c r="FV92" s="33"/>
      <c r="FW92" s="33"/>
      <c r="FX92" s="33"/>
      <c r="FY92" s="33"/>
      <c r="FZ92" s="33"/>
      <c r="GA92" s="33"/>
      <c r="GB92" s="33"/>
      <c r="GC92" s="33"/>
      <c r="GD92" s="33"/>
      <c r="GE92" s="33"/>
      <c r="GF92" s="33"/>
      <c r="GG92" s="33"/>
      <c r="GH92" s="33"/>
      <c r="GI92" s="33"/>
      <c r="GJ92" s="33"/>
      <c r="GK92" s="33"/>
      <c r="GL92" s="33"/>
      <c r="GM92" s="33"/>
      <c r="GN92" s="33"/>
      <c r="GO92" s="33"/>
      <c r="GP92" s="33"/>
      <c r="GQ92" s="33"/>
      <c r="GR92" s="33"/>
      <c r="GS92" s="33"/>
      <c r="GT92" s="33"/>
      <c r="GU92" s="33"/>
      <c r="GV92" s="33"/>
      <c r="GW92" s="33"/>
      <c r="GX92" s="33"/>
      <c r="GY92" s="33"/>
      <c r="GZ92" s="33"/>
      <c r="HA92" s="33"/>
      <c r="HB92" s="33"/>
      <c r="HC92" s="33"/>
      <c r="HD92" s="33"/>
      <c r="HE92" s="33"/>
      <c r="HF92" s="33"/>
      <c r="HG92" s="33"/>
      <c r="HH92" s="33"/>
      <c r="HI92" s="33"/>
      <c r="HJ92" s="33"/>
      <c r="HK92" s="33"/>
      <c r="HL92" s="33"/>
      <c r="HM92" s="33"/>
      <c r="HN92" s="33"/>
      <c r="HO92" s="33"/>
      <c r="HP92" s="33"/>
      <c r="HQ92" s="33"/>
      <c r="HR92" s="33"/>
      <c r="HS92" s="33"/>
      <c r="HT92" s="33"/>
      <c r="HU92" s="33"/>
      <c r="HV92" s="33"/>
      <c r="HW92" s="33"/>
      <c r="HX92" s="33"/>
      <c r="HY92" s="33"/>
      <c r="HZ92" s="33"/>
      <c r="IA92" s="33"/>
      <c r="IB92" s="33"/>
      <c r="IC92" s="33"/>
      <c r="ID92" s="33"/>
      <c r="IE92" s="33"/>
      <c r="IF92" s="33"/>
      <c r="IG92" s="33"/>
      <c r="IH92" s="33"/>
      <c r="II92" s="33"/>
      <c r="IJ92" s="33"/>
      <c r="IK92" s="33"/>
      <c r="IL92" s="33"/>
      <c r="IM92" s="33"/>
      <c r="IN92" s="33"/>
      <c r="IO92" s="33"/>
      <c r="IP92" s="33"/>
      <c r="IQ92" s="33"/>
      <c r="IR92" s="33"/>
      <c r="IS92" s="33"/>
      <c r="IT92" s="33"/>
      <c r="IU92" s="33"/>
      <c r="IV92" s="33"/>
      <c r="IW92" s="33"/>
      <c r="IX92" s="33"/>
    </row>
    <row r="93" spans="1:258" s="34" customFormat="1" ht="20.85" customHeight="1" x14ac:dyDescent="0.2">
      <c r="A93" s="44" t="s">
        <v>456</v>
      </c>
      <c r="B93" s="44" t="s">
        <v>433</v>
      </c>
      <c r="C93" s="35">
        <v>1</v>
      </c>
      <c r="D93" s="79" t="s">
        <v>481</v>
      </c>
      <c r="E93" s="36" t="s">
        <v>11</v>
      </c>
      <c r="F93" s="36" t="s">
        <v>11</v>
      </c>
      <c r="G93" s="36" t="s">
        <v>12</v>
      </c>
      <c r="H93" s="36" t="s">
        <v>13</v>
      </c>
      <c r="I93" s="37"/>
      <c r="J93" s="37"/>
      <c r="K93" s="37"/>
      <c r="L93" s="37"/>
      <c r="M93" s="37"/>
      <c r="N93" s="37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8"/>
      <c r="BJ93" s="38"/>
      <c r="BK93" s="38"/>
      <c r="BL93" s="38"/>
      <c r="BM93" s="38"/>
      <c r="BN93" s="38"/>
      <c r="BO93" s="38"/>
      <c r="BP93" s="38"/>
      <c r="BQ93" s="38"/>
      <c r="BR93" s="38"/>
      <c r="BS93" s="38"/>
      <c r="BT93" s="38"/>
      <c r="BU93" s="38"/>
      <c r="BV93" s="38"/>
      <c r="BW93" s="38"/>
      <c r="BX93" s="38"/>
      <c r="BY93" s="38"/>
      <c r="BZ93" s="38"/>
      <c r="CA93" s="38"/>
      <c r="CB93" s="38"/>
      <c r="CC93" s="38"/>
      <c r="CD93" s="38"/>
      <c r="CE93" s="38"/>
      <c r="CF93" s="38"/>
      <c r="CG93" s="38"/>
      <c r="CH93" s="38"/>
      <c r="CI93" s="38"/>
      <c r="CJ93" s="38"/>
      <c r="CK93" s="38"/>
      <c r="CL93" s="38"/>
      <c r="CM93" s="38"/>
      <c r="CN93" s="38"/>
      <c r="CO93" s="38"/>
      <c r="CP93" s="38"/>
      <c r="CQ93" s="38"/>
      <c r="CR93" s="38"/>
      <c r="CS93" s="38"/>
      <c r="CT93" s="38"/>
      <c r="CU93" s="38"/>
      <c r="CV93" s="38"/>
      <c r="CW93" s="38"/>
      <c r="CX93" s="38"/>
      <c r="CY93" s="38"/>
      <c r="CZ93" s="38"/>
      <c r="DA93" s="38"/>
      <c r="DB93" s="38"/>
      <c r="DC93" s="38"/>
      <c r="DD93" s="38"/>
      <c r="DE93" s="38"/>
      <c r="DF93" s="38"/>
      <c r="DG93" s="38"/>
      <c r="DH93" s="38"/>
      <c r="DI93" s="38"/>
      <c r="DJ93" s="38"/>
      <c r="DK93" s="38"/>
      <c r="DL93" s="38"/>
      <c r="DM93" s="38"/>
      <c r="DN93" s="38"/>
      <c r="DO93" s="38"/>
      <c r="DP93" s="38"/>
      <c r="DQ93" s="38"/>
      <c r="DR93" s="38"/>
      <c r="DS93" s="38"/>
      <c r="DT93" s="38"/>
      <c r="DU93" s="38"/>
      <c r="DV93" s="38"/>
      <c r="DW93" s="38"/>
      <c r="DX93" s="38"/>
      <c r="DY93" s="38"/>
      <c r="DZ93" s="38"/>
      <c r="EA93" s="38"/>
      <c r="EB93" s="38"/>
      <c r="EC93" s="38"/>
      <c r="ED93" s="38"/>
      <c r="EE93" s="38"/>
      <c r="EF93" s="38"/>
      <c r="EG93" s="38"/>
      <c r="EH93" s="38"/>
      <c r="EI93" s="38"/>
      <c r="EJ93" s="38"/>
      <c r="EK93" s="38"/>
      <c r="EL93" s="38"/>
      <c r="EM93" s="38"/>
      <c r="EN93" s="38"/>
      <c r="EO93" s="38"/>
      <c r="EP93" s="38"/>
      <c r="EQ93" s="38"/>
      <c r="ER93" s="38"/>
      <c r="ES93" s="38"/>
      <c r="ET93" s="38"/>
      <c r="EU93" s="38"/>
      <c r="EV93" s="38"/>
      <c r="EW93" s="38"/>
      <c r="EX93" s="38"/>
      <c r="EY93" s="38"/>
      <c r="EZ93" s="38"/>
      <c r="FA93" s="38"/>
      <c r="FB93" s="38"/>
      <c r="FC93" s="38"/>
      <c r="FD93" s="38"/>
      <c r="FE93" s="38"/>
      <c r="FF93" s="38"/>
      <c r="FG93" s="38"/>
      <c r="FH93" s="38"/>
      <c r="FI93" s="38"/>
      <c r="FJ93" s="38"/>
      <c r="FK93" s="38"/>
      <c r="FL93" s="38"/>
      <c r="FM93" s="38"/>
      <c r="FN93" s="38"/>
      <c r="FO93" s="38"/>
      <c r="FP93" s="38"/>
      <c r="FQ93" s="38"/>
      <c r="FR93" s="38"/>
      <c r="FS93" s="38"/>
      <c r="FT93" s="38"/>
      <c r="FU93" s="38"/>
      <c r="FV93" s="38"/>
      <c r="FW93" s="38"/>
      <c r="FX93" s="38"/>
      <c r="FY93" s="38"/>
      <c r="FZ93" s="38"/>
      <c r="GA93" s="38"/>
      <c r="GB93" s="38"/>
      <c r="GC93" s="38"/>
      <c r="GD93" s="38"/>
      <c r="GE93" s="38"/>
      <c r="GF93" s="38"/>
      <c r="GG93" s="38"/>
      <c r="GH93" s="38"/>
      <c r="GI93" s="38"/>
      <c r="GJ93" s="38"/>
      <c r="GK93" s="38"/>
      <c r="GL93" s="38"/>
      <c r="GM93" s="38"/>
      <c r="GN93" s="38"/>
      <c r="GO93" s="38"/>
      <c r="GP93" s="38"/>
      <c r="GQ93" s="38"/>
      <c r="GR93" s="38"/>
      <c r="GS93" s="38"/>
      <c r="GT93" s="38"/>
      <c r="GU93" s="38"/>
      <c r="GV93" s="38"/>
      <c r="GW93" s="38"/>
      <c r="GX93" s="38"/>
      <c r="GY93" s="38"/>
      <c r="GZ93" s="38"/>
      <c r="HA93" s="38"/>
      <c r="HB93" s="38"/>
      <c r="HC93" s="38"/>
      <c r="HD93" s="38"/>
      <c r="HE93" s="38"/>
      <c r="HF93" s="38"/>
      <c r="HG93" s="38"/>
      <c r="HH93" s="38"/>
      <c r="HI93" s="38"/>
      <c r="HJ93" s="38"/>
      <c r="HK93" s="38"/>
      <c r="HL93" s="38"/>
      <c r="HM93" s="38"/>
      <c r="HN93" s="38"/>
      <c r="HO93" s="38"/>
      <c r="HP93" s="38"/>
      <c r="HQ93" s="38"/>
      <c r="HR93" s="38"/>
      <c r="HS93" s="38"/>
      <c r="HT93" s="38"/>
      <c r="HU93" s="38"/>
      <c r="HV93" s="38"/>
      <c r="HW93" s="38"/>
      <c r="HX93" s="38"/>
      <c r="HY93" s="38"/>
      <c r="HZ93" s="38"/>
      <c r="IA93" s="38"/>
      <c r="IB93" s="38"/>
      <c r="IC93" s="38"/>
      <c r="ID93" s="38"/>
      <c r="IE93" s="38"/>
      <c r="IF93" s="38"/>
      <c r="IG93" s="38"/>
      <c r="IH93" s="38"/>
      <c r="II93" s="38"/>
      <c r="IJ93" s="38"/>
      <c r="IK93" s="38"/>
      <c r="IL93" s="38"/>
      <c r="IM93" s="38"/>
      <c r="IN93" s="38"/>
      <c r="IO93" s="38"/>
      <c r="IP93" s="38"/>
      <c r="IQ93" s="38"/>
      <c r="IR93" s="38"/>
      <c r="IS93" s="38"/>
      <c r="IT93" s="38"/>
      <c r="IU93" s="38"/>
      <c r="IV93" s="38"/>
      <c r="IW93" s="38"/>
      <c r="IX93" s="38"/>
    </row>
    <row r="94" spans="1:258" s="34" customFormat="1" ht="20.45" customHeight="1" x14ac:dyDescent="0.2">
      <c r="A94" s="44" t="s">
        <v>456</v>
      </c>
      <c r="B94" s="44" t="s">
        <v>433</v>
      </c>
      <c r="C94" s="39">
        <v>12</v>
      </c>
      <c r="D94" s="40" t="s">
        <v>14</v>
      </c>
      <c r="E94" s="41" t="s">
        <v>11</v>
      </c>
      <c r="F94" s="41" t="s">
        <v>11</v>
      </c>
      <c r="G94" s="41" t="s">
        <v>15</v>
      </c>
      <c r="H94" s="41" t="s">
        <v>13</v>
      </c>
      <c r="I94" s="42"/>
      <c r="J94" s="42"/>
      <c r="K94" s="42"/>
      <c r="L94" s="42"/>
      <c r="M94" s="42"/>
      <c r="N94" s="42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  <c r="BL94" s="38"/>
      <c r="BM94" s="38"/>
      <c r="BN94" s="38"/>
      <c r="BO94" s="38"/>
      <c r="BP94" s="38"/>
      <c r="BQ94" s="38"/>
      <c r="BR94" s="38"/>
      <c r="BS94" s="38"/>
      <c r="BT94" s="38"/>
      <c r="BU94" s="38"/>
      <c r="BV94" s="38"/>
      <c r="BW94" s="38"/>
      <c r="BX94" s="38"/>
      <c r="BY94" s="38"/>
      <c r="BZ94" s="38"/>
      <c r="CA94" s="38"/>
      <c r="CB94" s="38"/>
      <c r="CC94" s="38"/>
      <c r="CD94" s="38"/>
      <c r="CE94" s="38"/>
      <c r="CF94" s="38"/>
      <c r="CG94" s="38"/>
      <c r="CH94" s="38"/>
      <c r="CI94" s="38"/>
      <c r="CJ94" s="38"/>
      <c r="CK94" s="38"/>
      <c r="CL94" s="38"/>
      <c r="CM94" s="38"/>
      <c r="CN94" s="38"/>
      <c r="CO94" s="38"/>
      <c r="CP94" s="38"/>
      <c r="CQ94" s="38"/>
      <c r="CR94" s="38"/>
      <c r="CS94" s="38"/>
      <c r="CT94" s="38"/>
      <c r="CU94" s="38"/>
      <c r="CV94" s="38"/>
      <c r="CW94" s="38"/>
      <c r="CX94" s="38"/>
      <c r="CY94" s="38"/>
      <c r="CZ94" s="38"/>
      <c r="DA94" s="38"/>
      <c r="DB94" s="38"/>
      <c r="DC94" s="38"/>
      <c r="DD94" s="38"/>
      <c r="DE94" s="38"/>
      <c r="DF94" s="38"/>
      <c r="DG94" s="38"/>
      <c r="DH94" s="38"/>
      <c r="DI94" s="38"/>
      <c r="DJ94" s="38"/>
      <c r="DK94" s="38"/>
      <c r="DL94" s="38"/>
      <c r="DM94" s="38"/>
      <c r="DN94" s="38"/>
      <c r="DO94" s="38"/>
      <c r="DP94" s="38"/>
      <c r="DQ94" s="38"/>
      <c r="DR94" s="38"/>
      <c r="DS94" s="38"/>
      <c r="DT94" s="38"/>
      <c r="DU94" s="38"/>
      <c r="DV94" s="38"/>
      <c r="DW94" s="38"/>
      <c r="DX94" s="38"/>
      <c r="DY94" s="38"/>
      <c r="DZ94" s="38"/>
      <c r="EA94" s="38"/>
      <c r="EB94" s="38"/>
      <c r="EC94" s="38"/>
      <c r="ED94" s="38"/>
      <c r="EE94" s="38"/>
      <c r="EF94" s="38"/>
      <c r="EG94" s="38"/>
      <c r="EH94" s="38"/>
      <c r="EI94" s="38"/>
      <c r="EJ94" s="38"/>
      <c r="EK94" s="38"/>
      <c r="EL94" s="38"/>
      <c r="EM94" s="38"/>
      <c r="EN94" s="38"/>
      <c r="EO94" s="38"/>
      <c r="EP94" s="38"/>
      <c r="EQ94" s="38"/>
      <c r="ER94" s="38"/>
      <c r="ES94" s="38"/>
      <c r="ET94" s="38"/>
      <c r="EU94" s="38"/>
      <c r="EV94" s="38"/>
      <c r="EW94" s="38"/>
      <c r="EX94" s="38"/>
      <c r="EY94" s="38"/>
      <c r="EZ94" s="38"/>
      <c r="FA94" s="38"/>
      <c r="FB94" s="38"/>
      <c r="FC94" s="38"/>
      <c r="FD94" s="38"/>
      <c r="FE94" s="38"/>
      <c r="FF94" s="38"/>
      <c r="FG94" s="38"/>
      <c r="FH94" s="38"/>
      <c r="FI94" s="38"/>
      <c r="FJ94" s="38"/>
      <c r="FK94" s="38"/>
      <c r="FL94" s="38"/>
      <c r="FM94" s="38"/>
      <c r="FN94" s="38"/>
      <c r="FO94" s="38"/>
      <c r="FP94" s="38"/>
      <c r="FQ94" s="38"/>
      <c r="FR94" s="38"/>
      <c r="FS94" s="38"/>
      <c r="FT94" s="38"/>
      <c r="FU94" s="38"/>
      <c r="FV94" s="38"/>
      <c r="FW94" s="38"/>
      <c r="FX94" s="38"/>
      <c r="FY94" s="38"/>
      <c r="FZ94" s="38"/>
      <c r="GA94" s="38"/>
      <c r="GB94" s="38"/>
      <c r="GC94" s="38"/>
      <c r="GD94" s="38"/>
      <c r="GE94" s="38"/>
      <c r="GF94" s="38"/>
      <c r="GG94" s="38"/>
      <c r="GH94" s="38"/>
      <c r="GI94" s="38"/>
      <c r="GJ94" s="38"/>
      <c r="GK94" s="38"/>
      <c r="GL94" s="38"/>
      <c r="GM94" s="38"/>
      <c r="GN94" s="38"/>
      <c r="GO94" s="38"/>
      <c r="GP94" s="38"/>
      <c r="GQ94" s="38"/>
      <c r="GR94" s="38"/>
      <c r="GS94" s="38"/>
      <c r="GT94" s="38"/>
      <c r="GU94" s="38"/>
      <c r="GV94" s="38"/>
      <c r="GW94" s="38"/>
      <c r="GX94" s="38"/>
      <c r="GY94" s="38"/>
      <c r="GZ94" s="38"/>
      <c r="HA94" s="38"/>
      <c r="HB94" s="38"/>
      <c r="HC94" s="38"/>
      <c r="HD94" s="38"/>
      <c r="HE94" s="38"/>
      <c r="HF94" s="38"/>
      <c r="HG94" s="38"/>
      <c r="HH94" s="38"/>
      <c r="HI94" s="38"/>
      <c r="HJ94" s="38"/>
      <c r="HK94" s="38"/>
      <c r="HL94" s="38"/>
      <c r="HM94" s="38"/>
      <c r="HN94" s="38"/>
      <c r="HO94" s="38"/>
      <c r="HP94" s="38"/>
      <c r="HQ94" s="38"/>
      <c r="HR94" s="38"/>
      <c r="HS94" s="38"/>
      <c r="HT94" s="38"/>
      <c r="HU94" s="38"/>
      <c r="HV94" s="38"/>
      <c r="HW94" s="38"/>
      <c r="HX94" s="38"/>
      <c r="HY94" s="38"/>
      <c r="HZ94" s="38"/>
      <c r="IA94" s="38"/>
      <c r="IB94" s="38"/>
      <c r="IC94" s="38"/>
      <c r="ID94" s="38"/>
      <c r="IE94" s="38"/>
      <c r="IF94" s="38"/>
      <c r="IG94" s="38"/>
      <c r="IH94" s="38"/>
      <c r="II94" s="38"/>
      <c r="IJ94" s="38"/>
      <c r="IK94" s="38"/>
      <c r="IL94" s="38"/>
      <c r="IM94" s="38"/>
      <c r="IN94" s="38"/>
      <c r="IO94" s="38"/>
      <c r="IP94" s="38"/>
      <c r="IQ94" s="38"/>
      <c r="IR94" s="38"/>
      <c r="IS94" s="38"/>
      <c r="IT94" s="38"/>
      <c r="IU94" s="38"/>
      <c r="IV94" s="38"/>
      <c r="IW94" s="38"/>
      <c r="IX94" s="38"/>
    </row>
    <row r="95" spans="1:258" s="34" customFormat="1" ht="20.45" customHeight="1" x14ac:dyDescent="0.2">
      <c r="A95" s="44" t="s">
        <v>456</v>
      </c>
      <c r="B95" s="44" t="s">
        <v>433</v>
      </c>
      <c r="C95" s="39">
        <v>6</v>
      </c>
      <c r="D95" s="40" t="s">
        <v>16</v>
      </c>
      <c r="E95" s="41" t="s">
        <v>11</v>
      </c>
      <c r="F95" s="41" t="s">
        <v>11</v>
      </c>
      <c r="G95" s="41" t="s">
        <v>17</v>
      </c>
      <c r="H95" s="41" t="s">
        <v>13</v>
      </c>
      <c r="I95" s="42"/>
      <c r="J95" s="42"/>
      <c r="K95" s="42"/>
      <c r="L95" s="42"/>
      <c r="M95" s="42"/>
      <c r="N95" s="42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8"/>
      <c r="BH95" s="38"/>
      <c r="BI95" s="38"/>
      <c r="BJ95" s="38"/>
      <c r="BK95" s="38"/>
      <c r="BL95" s="38"/>
      <c r="BM95" s="38"/>
      <c r="BN95" s="38"/>
      <c r="BO95" s="38"/>
      <c r="BP95" s="38"/>
      <c r="BQ95" s="38"/>
      <c r="BR95" s="38"/>
      <c r="BS95" s="38"/>
      <c r="BT95" s="38"/>
      <c r="BU95" s="38"/>
      <c r="BV95" s="38"/>
      <c r="BW95" s="38"/>
      <c r="BX95" s="38"/>
      <c r="BY95" s="38"/>
      <c r="BZ95" s="38"/>
      <c r="CA95" s="38"/>
      <c r="CB95" s="38"/>
      <c r="CC95" s="38"/>
      <c r="CD95" s="38"/>
      <c r="CE95" s="38"/>
      <c r="CF95" s="38"/>
      <c r="CG95" s="38"/>
      <c r="CH95" s="38"/>
      <c r="CI95" s="38"/>
      <c r="CJ95" s="38"/>
      <c r="CK95" s="38"/>
      <c r="CL95" s="38"/>
      <c r="CM95" s="38"/>
      <c r="CN95" s="38"/>
      <c r="CO95" s="38"/>
      <c r="CP95" s="38"/>
      <c r="CQ95" s="38"/>
      <c r="CR95" s="38"/>
      <c r="CS95" s="38"/>
      <c r="CT95" s="38"/>
      <c r="CU95" s="38"/>
      <c r="CV95" s="38"/>
      <c r="CW95" s="38"/>
      <c r="CX95" s="38"/>
      <c r="CY95" s="38"/>
      <c r="CZ95" s="38"/>
      <c r="DA95" s="38"/>
      <c r="DB95" s="38"/>
      <c r="DC95" s="38"/>
      <c r="DD95" s="38"/>
      <c r="DE95" s="38"/>
      <c r="DF95" s="38"/>
      <c r="DG95" s="38"/>
      <c r="DH95" s="38"/>
      <c r="DI95" s="38"/>
      <c r="DJ95" s="38"/>
      <c r="DK95" s="38"/>
      <c r="DL95" s="38"/>
      <c r="DM95" s="38"/>
      <c r="DN95" s="38"/>
      <c r="DO95" s="38"/>
      <c r="DP95" s="38"/>
      <c r="DQ95" s="38"/>
      <c r="DR95" s="38"/>
      <c r="DS95" s="38"/>
      <c r="DT95" s="38"/>
      <c r="DU95" s="38"/>
      <c r="DV95" s="38"/>
      <c r="DW95" s="38"/>
      <c r="DX95" s="38"/>
      <c r="DY95" s="38"/>
      <c r="DZ95" s="38"/>
      <c r="EA95" s="38"/>
      <c r="EB95" s="38"/>
      <c r="EC95" s="38"/>
      <c r="ED95" s="38"/>
      <c r="EE95" s="38"/>
      <c r="EF95" s="38"/>
      <c r="EG95" s="38"/>
      <c r="EH95" s="38"/>
      <c r="EI95" s="38"/>
      <c r="EJ95" s="38"/>
      <c r="EK95" s="38"/>
      <c r="EL95" s="38"/>
      <c r="EM95" s="38"/>
      <c r="EN95" s="38"/>
      <c r="EO95" s="38"/>
      <c r="EP95" s="38"/>
      <c r="EQ95" s="38"/>
      <c r="ER95" s="38"/>
      <c r="ES95" s="38"/>
      <c r="ET95" s="38"/>
      <c r="EU95" s="38"/>
      <c r="EV95" s="38"/>
      <c r="EW95" s="38"/>
      <c r="EX95" s="38"/>
      <c r="EY95" s="38"/>
      <c r="EZ95" s="38"/>
      <c r="FA95" s="38"/>
      <c r="FB95" s="38"/>
      <c r="FC95" s="38"/>
      <c r="FD95" s="38"/>
      <c r="FE95" s="38"/>
      <c r="FF95" s="38"/>
      <c r="FG95" s="38"/>
      <c r="FH95" s="38"/>
      <c r="FI95" s="38"/>
      <c r="FJ95" s="38"/>
      <c r="FK95" s="38"/>
      <c r="FL95" s="38"/>
      <c r="FM95" s="38"/>
      <c r="FN95" s="38"/>
      <c r="FO95" s="38"/>
      <c r="FP95" s="38"/>
      <c r="FQ95" s="38"/>
      <c r="FR95" s="38"/>
      <c r="FS95" s="38"/>
      <c r="FT95" s="38"/>
      <c r="FU95" s="38"/>
      <c r="FV95" s="38"/>
      <c r="FW95" s="38"/>
      <c r="FX95" s="38"/>
      <c r="FY95" s="38"/>
      <c r="FZ95" s="38"/>
      <c r="GA95" s="38"/>
      <c r="GB95" s="38"/>
      <c r="GC95" s="38"/>
      <c r="GD95" s="38"/>
      <c r="GE95" s="38"/>
      <c r="GF95" s="38"/>
      <c r="GG95" s="38"/>
      <c r="GH95" s="38"/>
      <c r="GI95" s="38"/>
      <c r="GJ95" s="38"/>
      <c r="GK95" s="38"/>
      <c r="GL95" s="38"/>
      <c r="GM95" s="38"/>
      <c r="GN95" s="38"/>
      <c r="GO95" s="38"/>
      <c r="GP95" s="38"/>
      <c r="GQ95" s="38"/>
      <c r="GR95" s="38"/>
      <c r="GS95" s="38"/>
      <c r="GT95" s="38"/>
      <c r="GU95" s="38"/>
      <c r="GV95" s="38"/>
      <c r="GW95" s="38"/>
      <c r="GX95" s="38"/>
      <c r="GY95" s="38"/>
      <c r="GZ95" s="38"/>
      <c r="HA95" s="38"/>
      <c r="HB95" s="38"/>
      <c r="HC95" s="38"/>
      <c r="HD95" s="38"/>
      <c r="HE95" s="38"/>
      <c r="HF95" s="38"/>
      <c r="HG95" s="38"/>
      <c r="HH95" s="38"/>
      <c r="HI95" s="38"/>
      <c r="HJ95" s="38"/>
      <c r="HK95" s="38"/>
      <c r="HL95" s="38"/>
      <c r="HM95" s="38"/>
      <c r="HN95" s="38"/>
      <c r="HO95" s="38"/>
      <c r="HP95" s="38"/>
      <c r="HQ95" s="38"/>
      <c r="HR95" s="38"/>
      <c r="HS95" s="38"/>
      <c r="HT95" s="38"/>
      <c r="HU95" s="38"/>
      <c r="HV95" s="38"/>
      <c r="HW95" s="38"/>
      <c r="HX95" s="38"/>
      <c r="HY95" s="38"/>
      <c r="HZ95" s="38"/>
      <c r="IA95" s="38"/>
      <c r="IB95" s="38"/>
      <c r="IC95" s="38"/>
      <c r="ID95" s="38"/>
      <c r="IE95" s="38"/>
      <c r="IF95" s="38"/>
      <c r="IG95" s="38"/>
      <c r="IH95" s="38"/>
      <c r="II95" s="38"/>
      <c r="IJ95" s="38"/>
      <c r="IK95" s="38"/>
      <c r="IL95" s="38"/>
      <c r="IM95" s="38"/>
      <c r="IN95" s="38"/>
      <c r="IO95" s="38"/>
      <c r="IP95" s="38"/>
      <c r="IQ95" s="38"/>
      <c r="IR95" s="38"/>
      <c r="IS95" s="38"/>
      <c r="IT95" s="38"/>
      <c r="IU95" s="38"/>
      <c r="IV95" s="38"/>
      <c r="IW95" s="38"/>
      <c r="IX95" s="38"/>
    </row>
    <row r="96" spans="1:258" s="34" customFormat="1" ht="20.45" customHeight="1" x14ac:dyDescent="0.2">
      <c r="A96" s="44" t="s">
        <v>456</v>
      </c>
      <c r="B96" s="44" t="s">
        <v>433</v>
      </c>
      <c r="C96" s="39">
        <v>1</v>
      </c>
      <c r="D96" s="40" t="s">
        <v>18</v>
      </c>
      <c r="E96" s="41" t="s">
        <v>11</v>
      </c>
      <c r="F96" s="41" t="s">
        <v>11</v>
      </c>
      <c r="G96" s="41" t="s">
        <v>19</v>
      </c>
      <c r="H96" s="41" t="s">
        <v>13</v>
      </c>
      <c r="I96" s="42"/>
      <c r="J96" s="42"/>
      <c r="K96" s="42"/>
      <c r="L96" s="42"/>
      <c r="M96" s="42"/>
      <c r="N96" s="42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8"/>
      <c r="BH96" s="38"/>
      <c r="BI96" s="38"/>
      <c r="BJ96" s="38"/>
      <c r="BK96" s="38"/>
      <c r="BL96" s="38"/>
      <c r="BM96" s="38"/>
      <c r="BN96" s="38"/>
      <c r="BO96" s="38"/>
      <c r="BP96" s="38"/>
      <c r="BQ96" s="38"/>
      <c r="BR96" s="38"/>
      <c r="BS96" s="38"/>
      <c r="BT96" s="38"/>
      <c r="BU96" s="38"/>
      <c r="BV96" s="38"/>
      <c r="BW96" s="38"/>
      <c r="BX96" s="38"/>
      <c r="BY96" s="38"/>
      <c r="BZ96" s="38"/>
      <c r="CA96" s="38"/>
      <c r="CB96" s="38"/>
      <c r="CC96" s="38"/>
      <c r="CD96" s="38"/>
      <c r="CE96" s="38"/>
      <c r="CF96" s="38"/>
      <c r="CG96" s="38"/>
      <c r="CH96" s="38"/>
      <c r="CI96" s="38"/>
      <c r="CJ96" s="38"/>
      <c r="CK96" s="38"/>
      <c r="CL96" s="38"/>
      <c r="CM96" s="38"/>
      <c r="CN96" s="38"/>
      <c r="CO96" s="38"/>
      <c r="CP96" s="38"/>
      <c r="CQ96" s="38"/>
      <c r="CR96" s="38"/>
      <c r="CS96" s="38"/>
      <c r="CT96" s="38"/>
      <c r="CU96" s="38"/>
      <c r="CV96" s="38"/>
      <c r="CW96" s="38"/>
      <c r="CX96" s="38"/>
      <c r="CY96" s="38"/>
      <c r="CZ96" s="38"/>
      <c r="DA96" s="38"/>
      <c r="DB96" s="38"/>
      <c r="DC96" s="38"/>
      <c r="DD96" s="38"/>
      <c r="DE96" s="38"/>
      <c r="DF96" s="38"/>
      <c r="DG96" s="38"/>
      <c r="DH96" s="38"/>
      <c r="DI96" s="38"/>
      <c r="DJ96" s="38"/>
      <c r="DK96" s="38"/>
      <c r="DL96" s="38"/>
      <c r="DM96" s="38"/>
      <c r="DN96" s="38"/>
      <c r="DO96" s="38"/>
      <c r="DP96" s="38"/>
      <c r="DQ96" s="38"/>
      <c r="DR96" s="38"/>
      <c r="DS96" s="38"/>
      <c r="DT96" s="38"/>
      <c r="DU96" s="38"/>
      <c r="DV96" s="38"/>
      <c r="DW96" s="38"/>
      <c r="DX96" s="38"/>
      <c r="DY96" s="38"/>
      <c r="DZ96" s="38"/>
      <c r="EA96" s="38"/>
      <c r="EB96" s="38"/>
      <c r="EC96" s="38"/>
      <c r="ED96" s="38"/>
      <c r="EE96" s="38"/>
      <c r="EF96" s="38"/>
      <c r="EG96" s="38"/>
      <c r="EH96" s="38"/>
      <c r="EI96" s="38"/>
      <c r="EJ96" s="38"/>
      <c r="EK96" s="38"/>
      <c r="EL96" s="38"/>
      <c r="EM96" s="38"/>
      <c r="EN96" s="38"/>
      <c r="EO96" s="38"/>
      <c r="EP96" s="38"/>
      <c r="EQ96" s="38"/>
      <c r="ER96" s="38"/>
      <c r="ES96" s="38"/>
      <c r="ET96" s="38"/>
      <c r="EU96" s="38"/>
      <c r="EV96" s="38"/>
      <c r="EW96" s="38"/>
      <c r="EX96" s="38"/>
      <c r="EY96" s="38"/>
      <c r="EZ96" s="38"/>
      <c r="FA96" s="38"/>
      <c r="FB96" s="38"/>
      <c r="FC96" s="38"/>
      <c r="FD96" s="38"/>
      <c r="FE96" s="38"/>
      <c r="FF96" s="38"/>
      <c r="FG96" s="38"/>
      <c r="FH96" s="38"/>
      <c r="FI96" s="38"/>
      <c r="FJ96" s="38"/>
      <c r="FK96" s="38"/>
      <c r="FL96" s="38"/>
      <c r="FM96" s="38"/>
      <c r="FN96" s="38"/>
      <c r="FO96" s="38"/>
      <c r="FP96" s="38"/>
      <c r="FQ96" s="38"/>
      <c r="FR96" s="38"/>
      <c r="FS96" s="38"/>
      <c r="FT96" s="38"/>
      <c r="FU96" s="38"/>
      <c r="FV96" s="38"/>
      <c r="FW96" s="38"/>
      <c r="FX96" s="38"/>
      <c r="FY96" s="38"/>
      <c r="FZ96" s="38"/>
      <c r="GA96" s="38"/>
      <c r="GB96" s="38"/>
      <c r="GC96" s="38"/>
      <c r="GD96" s="38"/>
      <c r="GE96" s="38"/>
      <c r="GF96" s="38"/>
      <c r="GG96" s="38"/>
      <c r="GH96" s="38"/>
      <c r="GI96" s="38"/>
      <c r="GJ96" s="38"/>
      <c r="GK96" s="38"/>
      <c r="GL96" s="38"/>
      <c r="GM96" s="38"/>
      <c r="GN96" s="38"/>
      <c r="GO96" s="38"/>
      <c r="GP96" s="38"/>
      <c r="GQ96" s="38"/>
      <c r="GR96" s="38"/>
      <c r="GS96" s="38"/>
      <c r="GT96" s="38"/>
      <c r="GU96" s="38"/>
      <c r="GV96" s="38"/>
      <c r="GW96" s="38"/>
      <c r="GX96" s="38"/>
      <c r="GY96" s="38"/>
      <c r="GZ96" s="38"/>
      <c r="HA96" s="38"/>
      <c r="HB96" s="38"/>
      <c r="HC96" s="38"/>
      <c r="HD96" s="38"/>
      <c r="HE96" s="38"/>
      <c r="HF96" s="38"/>
      <c r="HG96" s="38"/>
      <c r="HH96" s="38"/>
      <c r="HI96" s="38"/>
      <c r="HJ96" s="38"/>
      <c r="HK96" s="38"/>
      <c r="HL96" s="38"/>
      <c r="HM96" s="38"/>
      <c r="HN96" s="38"/>
      <c r="HO96" s="38"/>
      <c r="HP96" s="38"/>
      <c r="HQ96" s="38"/>
      <c r="HR96" s="38"/>
      <c r="HS96" s="38"/>
      <c r="HT96" s="38"/>
      <c r="HU96" s="38"/>
      <c r="HV96" s="38"/>
      <c r="HW96" s="38"/>
      <c r="HX96" s="38"/>
      <c r="HY96" s="38"/>
      <c r="HZ96" s="38"/>
      <c r="IA96" s="38"/>
      <c r="IB96" s="38"/>
      <c r="IC96" s="38"/>
      <c r="ID96" s="38"/>
      <c r="IE96" s="38"/>
      <c r="IF96" s="38"/>
      <c r="IG96" s="38"/>
      <c r="IH96" s="38"/>
      <c r="II96" s="38"/>
      <c r="IJ96" s="38"/>
      <c r="IK96" s="38"/>
      <c r="IL96" s="38"/>
      <c r="IM96" s="38"/>
      <c r="IN96" s="38"/>
      <c r="IO96" s="38"/>
      <c r="IP96" s="38"/>
      <c r="IQ96" s="38"/>
      <c r="IR96" s="38"/>
      <c r="IS96" s="38"/>
      <c r="IT96" s="38"/>
      <c r="IU96" s="38"/>
      <c r="IV96" s="38"/>
      <c r="IW96" s="38"/>
      <c r="IX96" s="38"/>
    </row>
    <row r="97" spans="1:258" s="34" customFormat="1" ht="20.45" customHeight="1" x14ac:dyDescent="0.2">
      <c r="A97" s="44" t="s">
        <v>456</v>
      </c>
      <c r="B97" s="44" t="s">
        <v>433</v>
      </c>
      <c r="C97" s="39">
        <v>3</v>
      </c>
      <c r="D97" s="45" t="s">
        <v>434</v>
      </c>
      <c r="E97" s="41" t="s">
        <v>11</v>
      </c>
      <c r="F97" s="41" t="s">
        <v>11</v>
      </c>
      <c r="G97" s="41" t="s">
        <v>20</v>
      </c>
      <c r="H97" s="41" t="s">
        <v>13</v>
      </c>
      <c r="I97" s="42"/>
      <c r="J97" s="42"/>
      <c r="K97" s="42"/>
      <c r="L97" s="42"/>
      <c r="M97" s="42"/>
      <c r="N97" s="42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BH97" s="38"/>
      <c r="BI97" s="38"/>
      <c r="BJ97" s="38"/>
      <c r="BK97" s="38"/>
      <c r="BL97" s="38"/>
      <c r="BM97" s="38"/>
      <c r="BN97" s="38"/>
      <c r="BO97" s="38"/>
      <c r="BP97" s="38"/>
      <c r="BQ97" s="38"/>
      <c r="BR97" s="38"/>
      <c r="BS97" s="38"/>
      <c r="BT97" s="38"/>
      <c r="BU97" s="38"/>
      <c r="BV97" s="38"/>
      <c r="BW97" s="38"/>
      <c r="BX97" s="38"/>
      <c r="BY97" s="38"/>
      <c r="BZ97" s="38"/>
      <c r="CA97" s="38"/>
      <c r="CB97" s="38"/>
      <c r="CC97" s="38"/>
      <c r="CD97" s="38"/>
      <c r="CE97" s="38"/>
      <c r="CF97" s="38"/>
      <c r="CG97" s="38"/>
      <c r="CH97" s="38"/>
      <c r="CI97" s="38"/>
      <c r="CJ97" s="38"/>
      <c r="CK97" s="38"/>
      <c r="CL97" s="38"/>
      <c r="CM97" s="38"/>
      <c r="CN97" s="38"/>
      <c r="CO97" s="38"/>
      <c r="CP97" s="38"/>
      <c r="CQ97" s="38"/>
      <c r="CR97" s="38"/>
      <c r="CS97" s="38"/>
      <c r="CT97" s="38"/>
      <c r="CU97" s="38"/>
      <c r="CV97" s="38"/>
      <c r="CW97" s="38"/>
      <c r="CX97" s="38"/>
      <c r="CY97" s="38"/>
      <c r="CZ97" s="38"/>
      <c r="DA97" s="38"/>
      <c r="DB97" s="38"/>
      <c r="DC97" s="38"/>
      <c r="DD97" s="38"/>
      <c r="DE97" s="38"/>
      <c r="DF97" s="38"/>
      <c r="DG97" s="38"/>
      <c r="DH97" s="38"/>
      <c r="DI97" s="38"/>
      <c r="DJ97" s="38"/>
      <c r="DK97" s="38"/>
      <c r="DL97" s="38"/>
      <c r="DM97" s="38"/>
      <c r="DN97" s="38"/>
      <c r="DO97" s="38"/>
      <c r="DP97" s="38"/>
      <c r="DQ97" s="38"/>
      <c r="DR97" s="38"/>
      <c r="DS97" s="38"/>
      <c r="DT97" s="38"/>
      <c r="DU97" s="38"/>
      <c r="DV97" s="38"/>
      <c r="DW97" s="38"/>
      <c r="DX97" s="38"/>
      <c r="DY97" s="38"/>
      <c r="DZ97" s="38"/>
      <c r="EA97" s="38"/>
      <c r="EB97" s="38"/>
      <c r="EC97" s="38"/>
      <c r="ED97" s="38"/>
      <c r="EE97" s="38"/>
      <c r="EF97" s="38"/>
      <c r="EG97" s="38"/>
      <c r="EH97" s="38"/>
      <c r="EI97" s="38"/>
      <c r="EJ97" s="38"/>
      <c r="EK97" s="38"/>
      <c r="EL97" s="38"/>
      <c r="EM97" s="38"/>
      <c r="EN97" s="38"/>
      <c r="EO97" s="38"/>
      <c r="EP97" s="38"/>
      <c r="EQ97" s="38"/>
      <c r="ER97" s="38"/>
      <c r="ES97" s="38"/>
      <c r="ET97" s="38"/>
      <c r="EU97" s="38"/>
      <c r="EV97" s="38"/>
      <c r="EW97" s="38"/>
      <c r="EX97" s="38"/>
      <c r="EY97" s="38"/>
      <c r="EZ97" s="38"/>
      <c r="FA97" s="38"/>
      <c r="FB97" s="38"/>
      <c r="FC97" s="38"/>
      <c r="FD97" s="38"/>
      <c r="FE97" s="38"/>
      <c r="FF97" s="38"/>
      <c r="FG97" s="38"/>
      <c r="FH97" s="38"/>
      <c r="FI97" s="38"/>
      <c r="FJ97" s="38"/>
      <c r="FK97" s="38"/>
      <c r="FL97" s="38"/>
      <c r="FM97" s="38"/>
      <c r="FN97" s="38"/>
      <c r="FO97" s="38"/>
      <c r="FP97" s="38"/>
      <c r="FQ97" s="38"/>
      <c r="FR97" s="38"/>
      <c r="FS97" s="38"/>
      <c r="FT97" s="38"/>
      <c r="FU97" s="38"/>
      <c r="FV97" s="38"/>
      <c r="FW97" s="38"/>
      <c r="FX97" s="38"/>
      <c r="FY97" s="38"/>
      <c r="FZ97" s="38"/>
      <c r="GA97" s="38"/>
      <c r="GB97" s="38"/>
      <c r="GC97" s="38"/>
      <c r="GD97" s="38"/>
      <c r="GE97" s="38"/>
      <c r="GF97" s="38"/>
      <c r="GG97" s="38"/>
      <c r="GH97" s="38"/>
      <c r="GI97" s="38"/>
      <c r="GJ97" s="38"/>
      <c r="GK97" s="38"/>
      <c r="GL97" s="38"/>
      <c r="GM97" s="38"/>
      <c r="GN97" s="38"/>
      <c r="GO97" s="38"/>
      <c r="GP97" s="38"/>
      <c r="GQ97" s="38"/>
      <c r="GR97" s="38"/>
      <c r="GS97" s="38"/>
      <c r="GT97" s="38"/>
      <c r="GU97" s="38"/>
      <c r="GV97" s="38"/>
      <c r="GW97" s="38"/>
      <c r="GX97" s="38"/>
      <c r="GY97" s="38"/>
      <c r="GZ97" s="38"/>
      <c r="HA97" s="38"/>
      <c r="HB97" s="38"/>
      <c r="HC97" s="38"/>
      <c r="HD97" s="38"/>
      <c r="HE97" s="38"/>
      <c r="HF97" s="38"/>
      <c r="HG97" s="38"/>
      <c r="HH97" s="38"/>
      <c r="HI97" s="38"/>
      <c r="HJ97" s="38"/>
      <c r="HK97" s="38"/>
      <c r="HL97" s="38"/>
      <c r="HM97" s="38"/>
      <c r="HN97" s="38"/>
      <c r="HO97" s="38"/>
      <c r="HP97" s="38"/>
      <c r="HQ97" s="38"/>
      <c r="HR97" s="38"/>
      <c r="HS97" s="38"/>
      <c r="HT97" s="38"/>
      <c r="HU97" s="38"/>
      <c r="HV97" s="38"/>
      <c r="HW97" s="38"/>
      <c r="HX97" s="38"/>
      <c r="HY97" s="38"/>
      <c r="HZ97" s="38"/>
      <c r="IA97" s="38"/>
      <c r="IB97" s="38"/>
      <c r="IC97" s="38"/>
      <c r="ID97" s="38"/>
      <c r="IE97" s="38"/>
      <c r="IF97" s="38"/>
      <c r="IG97" s="38"/>
      <c r="IH97" s="38"/>
      <c r="II97" s="38"/>
      <c r="IJ97" s="38"/>
      <c r="IK97" s="38"/>
      <c r="IL97" s="38"/>
      <c r="IM97" s="38"/>
      <c r="IN97" s="38"/>
      <c r="IO97" s="38"/>
      <c r="IP97" s="38"/>
      <c r="IQ97" s="38"/>
      <c r="IR97" s="38"/>
      <c r="IS97" s="38"/>
      <c r="IT97" s="38"/>
      <c r="IU97" s="38"/>
      <c r="IV97" s="38"/>
      <c r="IW97" s="38"/>
      <c r="IX97" s="38"/>
    </row>
    <row r="98" spans="1:258" s="34" customFormat="1" ht="20.45" customHeight="1" x14ac:dyDescent="0.2">
      <c r="A98" s="44" t="s">
        <v>456</v>
      </c>
      <c r="B98" s="44" t="s">
        <v>433</v>
      </c>
      <c r="C98" s="39">
        <v>2</v>
      </c>
      <c r="D98" s="40" t="s">
        <v>21</v>
      </c>
      <c r="E98" s="41" t="s">
        <v>11</v>
      </c>
      <c r="F98" s="41" t="s">
        <v>11</v>
      </c>
      <c r="G98" s="41" t="s">
        <v>22</v>
      </c>
      <c r="H98" s="41" t="s">
        <v>13</v>
      </c>
      <c r="I98" s="42"/>
      <c r="J98" s="42"/>
      <c r="K98" s="42"/>
      <c r="L98" s="42"/>
      <c r="M98" s="42"/>
      <c r="N98" s="42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BH98" s="38"/>
      <c r="BI98" s="38"/>
      <c r="BJ98" s="38"/>
      <c r="BK98" s="38"/>
      <c r="BL98" s="38"/>
      <c r="BM98" s="38"/>
      <c r="BN98" s="38"/>
      <c r="BO98" s="38"/>
      <c r="BP98" s="38"/>
      <c r="BQ98" s="38"/>
      <c r="BR98" s="38"/>
      <c r="BS98" s="38"/>
      <c r="BT98" s="38"/>
      <c r="BU98" s="38"/>
      <c r="BV98" s="38"/>
      <c r="BW98" s="38"/>
      <c r="BX98" s="38"/>
      <c r="BY98" s="38"/>
      <c r="BZ98" s="38"/>
      <c r="CA98" s="38"/>
      <c r="CB98" s="38"/>
      <c r="CC98" s="38"/>
      <c r="CD98" s="38"/>
      <c r="CE98" s="38"/>
      <c r="CF98" s="38"/>
      <c r="CG98" s="38"/>
      <c r="CH98" s="38"/>
      <c r="CI98" s="38"/>
      <c r="CJ98" s="38"/>
      <c r="CK98" s="38"/>
      <c r="CL98" s="38"/>
      <c r="CM98" s="38"/>
      <c r="CN98" s="38"/>
      <c r="CO98" s="38"/>
      <c r="CP98" s="38"/>
      <c r="CQ98" s="38"/>
      <c r="CR98" s="38"/>
      <c r="CS98" s="38"/>
      <c r="CT98" s="38"/>
      <c r="CU98" s="38"/>
      <c r="CV98" s="38"/>
      <c r="CW98" s="38"/>
      <c r="CX98" s="38"/>
      <c r="CY98" s="38"/>
      <c r="CZ98" s="38"/>
      <c r="DA98" s="38"/>
      <c r="DB98" s="38"/>
      <c r="DC98" s="38"/>
      <c r="DD98" s="38"/>
      <c r="DE98" s="38"/>
      <c r="DF98" s="38"/>
      <c r="DG98" s="38"/>
      <c r="DH98" s="38"/>
      <c r="DI98" s="38"/>
      <c r="DJ98" s="38"/>
      <c r="DK98" s="38"/>
      <c r="DL98" s="38"/>
      <c r="DM98" s="38"/>
      <c r="DN98" s="38"/>
      <c r="DO98" s="38"/>
      <c r="DP98" s="38"/>
      <c r="DQ98" s="38"/>
      <c r="DR98" s="38"/>
      <c r="DS98" s="38"/>
      <c r="DT98" s="38"/>
      <c r="DU98" s="38"/>
      <c r="DV98" s="38"/>
      <c r="DW98" s="38"/>
      <c r="DX98" s="38"/>
      <c r="DY98" s="38"/>
      <c r="DZ98" s="38"/>
      <c r="EA98" s="38"/>
      <c r="EB98" s="38"/>
      <c r="EC98" s="38"/>
      <c r="ED98" s="38"/>
      <c r="EE98" s="38"/>
      <c r="EF98" s="38"/>
      <c r="EG98" s="38"/>
      <c r="EH98" s="38"/>
      <c r="EI98" s="38"/>
      <c r="EJ98" s="38"/>
      <c r="EK98" s="38"/>
      <c r="EL98" s="38"/>
      <c r="EM98" s="38"/>
      <c r="EN98" s="38"/>
      <c r="EO98" s="38"/>
      <c r="EP98" s="38"/>
      <c r="EQ98" s="38"/>
      <c r="ER98" s="38"/>
      <c r="ES98" s="38"/>
      <c r="ET98" s="38"/>
      <c r="EU98" s="38"/>
      <c r="EV98" s="38"/>
      <c r="EW98" s="38"/>
      <c r="EX98" s="38"/>
      <c r="EY98" s="38"/>
      <c r="EZ98" s="38"/>
      <c r="FA98" s="38"/>
      <c r="FB98" s="38"/>
      <c r="FC98" s="38"/>
      <c r="FD98" s="38"/>
      <c r="FE98" s="38"/>
      <c r="FF98" s="38"/>
      <c r="FG98" s="38"/>
      <c r="FH98" s="38"/>
      <c r="FI98" s="38"/>
      <c r="FJ98" s="38"/>
      <c r="FK98" s="38"/>
      <c r="FL98" s="38"/>
      <c r="FM98" s="38"/>
      <c r="FN98" s="38"/>
      <c r="FO98" s="38"/>
      <c r="FP98" s="38"/>
      <c r="FQ98" s="38"/>
      <c r="FR98" s="38"/>
      <c r="FS98" s="38"/>
      <c r="FT98" s="38"/>
      <c r="FU98" s="38"/>
      <c r="FV98" s="38"/>
      <c r="FW98" s="38"/>
      <c r="FX98" s="38"/>
      <c r="FY98" s="38"/>
      <c r="FZ98" s="38"/>
      <c r="GA98" s="38"/>
      <c r="GB98" s="38"/>
      <c r="GC98" s="38"/>
      <c r="GD98" s="38"/>
      <c r="GE98" s="38"/>
      <c r="GF98" s="38"/>
      <c r="GG98" s="38"/>
      <c r="GH98" s="38"/>
      <c r="GI98" s="38"/>
      <c r="GJ98" s="38"/>
      <c r="GK98" s="38"/>
      <c r="GL98" s="38"/>
      <c r="GM98" s="38"/>
      <c r="GN98" s="38"/>
      <c r="GO98" s="38"/>
      <c r="GP98" s="38"/>
      <c r="GQ98" s="38"/>
      <c r="GR98" s="38"/>
      <c r="GS98" s="38"/>
      <c r="GT98" s="38"/>
      <c r="GU98" s="38"/>
      <c r="GV98" s="38"/>
      <c r="GW98" s="38"/>
      <c r="GX98" s="38"/>
      <c r="GY98" s="38"/>
      <c r="GZ98" s="38"/>
      <c r="HA98" s="38"/>
      <c r="HB98" s="38"/>
      <c r="HC98" s="38"/>
      <c r="HD98" s="38"/>
      <c r="HE98" s="38"/>
      <c r="HF98" s="38"/>
      <c r="HG98" s="38"/>
      <c r="HH98" s="38"/>
      <c r="HI98" s="38"/>
      <c r="HJ98" s="38"/>
      <c r="HK98" s="38"/>
      <c r="HL98" s="38"/>
      <c r="HM98" s="38"/>
      <c r="HN98" s="38"/>
      <c r="HO98" s="38"/>
      <c r="HP98" s="38"/>
      <c r="HQ98" s="38"/>
      <c r="HR98" s="38"/>
      <c r="HS98" s="38"/>
      <c r="HT98" s="38"/>
      <c r="HU98" s="38"/>
      <c r="HV98" s="38"/>
      <c r="HW98" s="38"/>
      <c r="HX98" s="38"/>
      <c r="HY98" s="38"/>
      <c r="HZ98" s="38"/>
      <c r="IA98" s="38"/>
      <c r="IB98" s="38"/>
      <c r="IC98" s="38"/>
      <c r="ID98" s="38"/>
      <c r="IE98" s="38"/>
      <c r="IF98" s="38"/>
      <c r="IG98" s="38"/>
      <c r="IH98" s="38"/>
      <c r="II98" s="38"/>
      <c r="IJ98" s="38"/>
      <c r="IK98" s="38"/>
      <c r="IL98" s="38"/>
      <c r="IM98" s="38"/>
      <c r="IN98" s="38"/>
      <c r="IO98" s="38"/>
      <c r="IP98" s="38"/>
      <c r="IQ98" s="38"/>
      <c r="IR98" s="38"/>
      <c r="IS98" s="38"/>
      <c r="IT98" s="38"/>
      <c r="IU98" s="38"/>
      <c r="IV98" s="38"/>
      <c r="IW98" s="38"/>
      <c r="IX98" s="38"/>
    </row>
    <row r="99" spans="1:258" s="34" customFormat="1" ht="20.45" customHeight="1" x14ac:dyDescent="0.2">
      <c r="A99" s="44" t="s">
        <v>456</v>
      </c>
      <c r="B99" s="44" t="s">
        <v>436</v>
      </c>
      <c r="C99" s="39">
        <v>2</v>
      </c>
      <c r="D99" s="43">
        <v>500</v>
      </c>
      <c r="E99" s="41" t="s">
        <v>23</v>
      </c>
      <c r="F99" s="41" t="s">
        <v>24</v>
      </c>
      <c r="G99" s="41" t="s">
        <v>25</v>
      </c>
      <c r="H99" s="41" t="s">
        <v>26</v>
      </c>
      <c r="I99" s="42"/>
      <c r="J99" s="42"/>
      <c r="K99" s="42"/>
      <c r="L99" s="42"/>
      <c r="M99" s="42"/>
      <c r="N99" s="42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H99" s="38"/>
      <c r="BI99" s="38"/>
      <c r="BJ99" s="38"/>
      <c r="BK99" s="38"/>
      <c r="BL99" s="38"/>
      <c r="BM99" s="38"/>
      <c r="BN99" s="38"/>
      <c r="BO99" s="38"/>
      <c r="BP99" s="38"/>
      <c r="BQ99" s="38"/>
      <c r="BR99" s="38"/>
      <c r="BS99" s="38"/>
      <c r="BT99" s="38"/>
      <c r="BU99" s="38"/>
      <c r="BV99" s="38"/>
      <c r="BW99" s="38"/>
      <c r="BX99" s="38"/>
      <c r="BY99" s="38"/>
      <c r="BZ99" s="38"/>
      <c r="CA99" s="38"/>
      <c r="CB99" s="38"/>
      <c r="CC99" s="38"/>
      <c r="CD99" s="38"/>
      <c r="CE99" s="38"/>
      <c r="CF99" s="38"/>
      <c r="CG99" s="38"/>
      <c r="CH99" s="38"/>
      <c r="CI99" s="38"/>
      <c r="CJ99" s="38"/>
      <c r="CK99" s="38"/>
      <c r="CL99" s="38"/>
      <c r="CM99" s="38"/>
      <c r="CN99" s="38"/>
      <c r="CO99" s="38"/>
      <c r="CP99" s="38"/>
      <c r="CQ99" s="38"/>
      <c r="CR99" s="38"/>
      <c r="CS99" s="38"/>
      <c r="CT99" s="38"/>
      <c r="CU99" s="38"/>
      <c r="CV99" s="38"/>
      <c r="CW99" s="38"/>
      <c r="CX99" s="38"/>
      <c r="CY99" s="38"/>
      <c r="CZ99" s="38"/>
      <c r="DA99" s="38"/>
      <c r="DB99" s="38"/>
      <c r="DC99" s="38"/>
      <c r="DD99" s="38"/>
      <c r="DE99" s="38"/>
      <c r="DF99" s="38"/>
      <c r="DG99" s="38"/>
      <c r="DH99" s="38"/>
      <c r="DI99" s="38"/>
      <c r="DJ99" s="38"/>
      <c r="DK99" s="38"/>
      <c r="DL99" s="38"/>
      <c r="DM99" s="38"/>
      <c r="DN99" s="38"/>
      <c r="DO99" s="38"/>
      <c r="DP99" s="38"/>
      <c r="DQ99" s="38"/>
      <c r="DR99" s="38"/>
      <c r="DS99" s="38"/>
      <c r="DT99" s="38"/>
      <c r="DU99" s="38"/>
      <c r="DV99" s="38"/>
      <c r="DW99" s="38"/>
      <c r="DX99" s="38"/>
      <c r="DY99" s="38"/>
      <c r="DZ99" s="38"/>
      <c r="EA99" s="38"/>
      <c r="EB99" s="38"/>
      <c r="EC99" s="38"/>
      <c r="ED99" s="38"/>
      <c r="EE99" s="38"/>
      <c r="EF99" s="38"/>
      <c r="EG99" s="38"/>
      <c r="EH99" s="38"/>
      <c r="EI99" s="38"/>
      <c r="EJ99" s="38"/>
      <c r="EK99" s="38"/>
      <c r="EL99" s="38"/>
      <c r="EM99" s="38"/>
      <c r="EN99" s="38"/>
      <c r="EO99" s="38"/>
      <c r="EP99" s="38"/>
      <c r="EQ99" s="38"/>
      <c r="ER99" s="38"/>
      <c r="ES99" s="38"/>
      <c r="ET99" s="38"/>
      <c r="EU99" s="38"/>
      <c r="EV99" s="38"/>
      <c r="EW99" s="38"/>
      <c r="EX99" s="38"/>
      <c r="EY99" s="38"/>
      <c r="EZ99" s="38"/>
      <c r="FA99" s="38"/>
      <c r="FB99" s="38"/>
      <c r="FC99" s="38"/>
      <c r="FD99" s="38"/>
      <c r="FE99" s="38"/>
      <c r="FF99" s="38"/>
      <c r="FG99" s="38"/>
      <c r="FH99" s="38"/>
      <c r="FI99" s="38"/>
      <c r="FJ99" s="38"/>
      <c r="FK99" s="38"/>
      <c r="FL99" s="38"/>
      <c r="FM99" s="38"/>
      <c r="FN99" s="38"/>
      <c r="FO99" s="38"/>
      <c r="FP99" s="38"/>
      <c r="FQ99" s="38"/>
      <c r="FR99" s="38"/>
      <c r="FS99" s="38"/>
      <c r="FT99" s="38"/>
      <c r="FU99" s="38"/>
      <c r="FV99" s="38"/>
      <c r="FW99" s="38"/>
      <c r="FX99" s="38"/>
      <c r="FY99" s="38"/>
      <c r="FZ99" s="38"/>
      <c r="GA99" s="38"/>
      <c r="GB99" s="38"/>
      <c r="GC99" s="38"/>
      <c r="GD99" s="38"/>
      <c r="GE99" s="38"/>
      <c r="GF99" s="38"/>
      <c r="GG99" s="38"/>
      <c r="GH99" s="38"/>
      <c r="GI99" s="38"/>
      <c r="GJ99" s="38"/>
      <c r="GK99" s="38"/>
      <c r="GL99" s="38"/>
      <c r="GM99" s="38"/>
      <c r="GN99" s="38"/>
      <c r="GO99" s="38"/>
      <c r="GP99" s="38"/>
      <c r="GQ99" s="38"/>
      <c r="GR99" s="38"/>
      <c r="GS99" s="38"/>
      <c r="GT99" s="38"/>
      <c r="GU99" s="38"/>
      <c r="GV99" s="38"/>
      <c r="GW99" s="38"/>
      <c r="GX99" s="38"/>
      <c r="GY99" s="38"/>
      <c r="GZ99" s="38"/>
      <c r="HA99" s="38"/>
      <c r="HB99" s="38"/>
      <c r="HC99" s="38"/>
      <c r="HD99" s="38"/>
      <c r="HE99" s="38"/>
      <c r="HF99" s="38"/>
      <c r="HG99" s="38"/>
      <c r="HH99" s="38"/>
      <c r="HI99" s="38"/>
      <c r="HJ99" s="38"/>
      <c r="HK99" s="38"/>
      <c r="HL99" s="38"/>
      <c r="HM99" s="38"/>
      <c r="HN99" s="38"/>
      <c r="HO99" s="38"/>
      <c r="HP99" s="38"/>
      <c r="HQ99" s="38"/>
      <c r="HR99" s="38"/>
      <c r="HS99" s="38"/>
      <c r="HT99" s="38"/>
      <c r="HU99" s="38"/>
      <c r="HV99" s="38"/>
      <c r="HW99" s="38"/>
      <c r="HX99" s="38"/>
      <c r="HY99" s="38"/>
      <c r="HZ99" s="38"/>
      <c r="IA99" s="38"/>
      <c r="IB99" s="38"/>
      <c r="IC99" s="38"/>
      <c r="ID99" s="38"/>
      <c r="IE99" s="38"/>
      <c r="IF99" s="38"/>
      <c r="IG99" s="38"/>
      <c r="IH99" s="38"/>
      <c r="II99" s="38"/>
      <c r="IJ99" s="38"/>
      <c r="IK99" s="38"/>
      <c r="IL99" s="38"/>
      <c r="IM99" s="38"/>
      <c r="IN99" s="38"/>
      <c r="IO99" s="38"/>
      <c r="IP99" s="38"/>
      <c r="IQ99" s="38"/>
      <c r="IR99" s="38"/>
      <c r="IS99" s="38"/>
      <c r="IT99" s="38"/>
      <c r="IU99" s="38"/>
      <c r="IV99" s="38"/>
      <c r="IW99" s="38"/>
      <c r="IX99" s="38"/>
    </row>
    <row r="100" spans="1:258" ht="20.45" customHeight="1" x14ac:dyDescent="0.2">
      <c r="A100" s="44" t="s">
        <v>456</v>
      </c>
      <c r="B100" s="44" t="s">
        <v>423</v>
      </c>
      <c r="C100" s="44">
        <v>1</v>
      </c>
      <c r="D100" s="44" t="s">
        <v>14</v>
      </c>
      <c r="E100" s="44" t="s">
        <v>330</v>
      </c>
      <c r="F100" s="44" t="s">
        <v>330</v>
      </c>
      <c r="G100" s="44" t="s">
        <v>331</v>
      </c>
      <c r="H100" s="8"/>
      <c r="I100" s="8"/>
      <c r="J100" s="8"/>
      <c r="K100" s="8"/>
      <c r="L100" s="8"/>
      <c r="M100" s="8"/>
      <c r="N100" s="8"/>
    </row>
    <row r="102" spans="1:258" ht="18" customHeight="1" x14ac:dyDescent="0.2">
      <c r="A102" s="12" t="s">
        <v>484</v>
      </c>
      <c r="C102" s="23">
        <f>SUM(C3:C100)</f>
        <v>567</v>
      </c>
    </row>
    <row r="104" spans="1:258" ht="18" customHeight="1" x14ac:dyDescent="0.2">
      <c r="B104" s="46" t="s">
        <v>435</v>
      </c>
    </row>
  </sheetData>
  <pageMargins left="1" right="1" top="1" bottom="1" header="0.25" footer="0.25"/>
  <pageSetup scale="29" orientation="portrait"/>
  <headerFooter>
    <oddFooter>&amp;C&amp;"Helvetica,Regular"&amp;12&amp;K000000&amp;P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Y31"/>
  <sheetViews>
    <sheetView topLeftCell="A25" workbookViewId="0">
      <selection activeCell="D31" sqref="D31"/>
    </sheetView>
  </sheetViews>
  <sheetFormatPr baseColWidth="10" defaultRowHeight="12.75" x14ac:dyDescent="0.2"/>
  <cols>
    <col min="1" max="1" width="12.140625" customWidth="1"/>
    <col min="2" max="2" width="18" style="23" customWidth="1"/>
    <col min="3" max="3" width="24.28515625" style="23" customWidth="1"/>
    <col min="6" max="6" width="19" customWidth="1"/>
    <col min="8" max="8" width="22.140625" customWidth="1"/>
  </cols>
  <sheetData>
    <row r="1" spans="1:259" s="63" customFormat="1" ht="31.5" customHeight="1" x14ac:dyDescent="0.2">
      <c r="A1" s="80" t="s">
        <v>480</v>
      </c>
      <c r="B1" s="62" t="s">
        <v>425</v>
      </c>
      <c r="C1" s="62" t="s">
        <v>469</v>
      </c>
      <c r="D1" s="62" t="s">
        <v>468</v>
      </c>
      <c r="E1" s="62" t="s">
        <v>431</v>
      </c>
      <c r="F1" s="62" t="s">
        <v>428</v>
      </c>
      <c r="G1" s="62" t="s">
        <v>429</v>
      </c>
      <c r="H1" s="62" t="s">
        <v>430</v>
      </c>
      <c r="I1" s="62"/>
      <c r="J1" s="62"/>
      <c r="K1" s="62"/>
      <c r="L1" s="62"/>
      <c r="M1" s="62"/>
      <c r="N1" s="62"/>
    </row>
    <row r="2" spans="1:259" x14ac:dyDescent="0.2">
      <c r="A2" s="12" t="s">
        <v>456</v>
      </c>
      <c r="B2" s="22" t="s">
        <v>375</v>
      </c>
      <c r="C2" s="22" t="s">
        <v>388</v>
      </c>
      <c r="D2" s="59">
        <v>2</v>
      </c>
      <c r="E2" s="60" t="s">
        <v>104</v>
      </c>
      <c r="F2" s="61" t="s">
        <v>105</v>
      </c>
      <c r="G2" s="61" t="s">
        <v>106</v>
      </c>
      <c r="H2" s="61" t="s">
        <v>107</v>
      </c>
    </row>
    <row r="3" spans="1:259" x14ac:dyDescent="0.2">
      <c r="A3" s="12" t="s">
        <v>456</v>
      </c>
      <c r="C3" s="22" t="s">
        <v>376</v>
      </c>
      <c r="D3" s="5">
        <v>1</v>
      </c>
      <c r="E3" s="6" t="s">
        <v>46</v>
      </c>
      <c r="F3" s="7" t="s">
        <v>156</v>
      </c>
      <c r="G3" s="7" t="s">
        <v>157</v>
      </c>
      <c r="H3" s="7" t="s">
        <v>158</v>
      </c>
    </row>
    <row r="4" spans="1:259" x14ac:dyDescent="0.2">
      <c r="C4" s="22" t="s">
        <v>376</v>
      </c>
      <c r="D4" s="5">
        <v>21</v>
      </c>
      <c r="E4" s="6" t="s">
        <v>159</v>
      </c>
      <c r="F4" s="7" t="s">
        <v>156</v>
      </c>
      <c r="G4" s="7" t="s">
        <v>157</v>
      </c>
      <c r="H4" s="7" t="s">
        <v>160</v>
      </c>
    </row>
    <row r="5" spans="1:259" x14ac:dyDescent="0.2">
      <c r="B5" s="58"/>
      <c r="C5" s="22" t="s">
        <v>376</v>
      </c>
      <c r="D5" s="5">
        <v>32</v>
      </c>
      <c r="E5" s="6" t="s">
        <v>161</v>
      </c>
      <c r="F5" s="7" t="s">
        <v>156</v>
      </c>
      <c r="G5" s="7" t="s">
        <v>157</v>
      </c>
      <c r="H5" s="7" t="s">
        <v>162</v>
      </c>
    </row>
    <row r="6" spans="1:259" x14ac:dyDescent="0.2">
      <c r="A6" s="12" t="s">
        <v>456</v>
      </c>
      <c r="C6" s="22" t="s">
        <v>376</v>
      </c>
      <c r="D6" s="5">
        <v>1</v>
      </c>
      <c r="E6" s="6" t="s">
        <v>163</v>
      </c>
      <c r="F6" s="7" t="s">
        <v>156</v>
      </c>
      <c r="G6" s="7" t="s">
        <v>157</v>
      </c>
      <c r="H6" s="7" t="s">
        <v>164</v>
      </c>
    </row>
    <row r="7" spans="1:259" x14ac:dyDescent="0.2">
      <c r="A7" s="12" t="s">
        <v>456</v>
      </c>
      <c r="B7" s="22" t="s">
        <v>375</v>
      </c>
      <c r="C7" s="22" t="s">
        <v>376</v>
      </c>
      <c r="D7" s="5">
        <v>3</v>
      </c>
      <c r="E7" s="15" t="s">
        <v>165</v>
      </c>
      <c r="F7" s="7" t="s">
        <v>156</v>
      </c>
      <c r="G7" s="7" t="s">
        <v>157</v>
      </c>
      <c r="H7" s="7" t="s">
        <v>166</v>
      </c>
    </row>
    <row r="8" spans="1:259" ht="20.45" customHeight="1" x14ac:dyDescent="0.2">
      <c r="A8" s="12" t="s">
        <v>456</v>
      </c>
      <c r="C8" s="22" t="s">
        <v>378</v>
      </c>
      <c r="D8" s="5">
        <v>6</v>
      </c>
      <c r="E8" s="6" t="s">
        <v>46</v>
      </c>
      <c r="F8" s="7" t="s">
        <v>47</v>
      </c>
      <c r="G8" s="7" t="s">
        <v>48</v>
      </c>
      <c r="H8" s="7" t="s">
        <v>49</v>
      </c>
      <c r="I8" s="7" t="s">
        <v>50</v>
      </c>
      <c r="J8" s="8"/>
      <c r="K8" s="8"/>
      <c r="L8" s="8"/>
      <c r="M8" s="8"/>
      <c r="N8" s="8"/>
      <c r="O8" s="8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</row>
    <row r="9" spans="1:259" ht="28.5" customHeight="1" x14ac:dyDescent="0.2">
      <c r="A9" s="12" t="s">
        <v>456</v>
      </c>
      <c r="B9" s="22" t="s">
        <v>367</v>
      </c>
      <c r="C9" s="22" t="s">
        <v>385</v>
      </c>
      <c r="D9" s="5">
        <v>6</v>
      </c>
      <c r="E9" s="6" t="s">
        <v>46</v>
      </c>
      <c r="F9" s="7" t="s">
        <v>51</v>
      </c>
      <c r="G9" s="7" t="s">
        <v>52</v>
      </c>
      <c r="H9" s="7" t="s">
        <v>53</v>
      </c>
      <c r="I9" s="7" t="s">
        <v>50</v>
      </c>
      <c r="J9" s="8"/>
      <c r="K9" s="8"/>
      <c r="L9" s="8"/>
      <c r="M9" s="8"/>
      <c r="N9" s="8"/>
      <c r="O9" s="8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</row>
    <row r="10" spans="1:259" ht="20.45" customHeight="1" x14ac:dyDescent="0.2">
      <c r="C10" s="22" t="s">
        <v>378</v>
      </c>
      <c r="D10" s="5">
        <v>9</v>
      </c>
      <c r="E10" s="6" t="s">
        <v>54</v>
      </c>
      <c r="F10" s="7" t="s">
        <v>47</v>
      </c>
      <c r="G10" s="7" t="s">
        <v>48</v>
      </c>
      <c r="H10" s="7" t="s">
        <v>55</v>
      </c>
      <c r="I10" s="7" t="s">
        <v>50</v>
      </c>
      <c r="J10" s="8"/>
      <c r="K10" s="8"/>
      <c r="L10" s="8"/>
      <c r="M10" s="8"/>
      <c r="N10" s="8"/>
      <c r="O10" s="8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</row>
    <row r="11" spans="1:259" ht="20.45" customHeight="1" x14ac:dyDescent="0.2">
      <c r="C11" s="22" t="s">
        <v>378</v>
      </c>
      <c r="D11" s="5">
        <v>22</v>
      </c>
      <c r="E11" s="6" t="s">
        <v>56</v>
      </c>
      <c r="F11" s="7" t="s">
        <v>47</v>
      </c>
      <c r="G11" s="7" t="s">
        <v>48</v>
      </c>
      <c r="H11" s="7" t="s">
        <v>57</v>
      </c>
      <c r="I11" s="7" t="s">
        <v>50</v>
      </c>
      <c r="J11" s="8"/>
      <c r="K11" s="8"/>
      <c r="L11" s="8"/>
      <c r="M11" s="8"/>
      <c r="N11" s="8"/>
      <c r="O11" s="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</row>
    <row r="12" spans="1:259" ht="20.45" customHeight="1" x14ac:dyDescent="0.2">
      <c r="C12" s="22" t="s">
        <v>378</v>
      </c>
      <c r="D12" s="5">
        <v>14</v>
      </c>
      <c r="E12" s="6" t="s">
        <v>58</v>
      </c>
      <c r="F12" s="7" t="s">
        <v>47</v>
      </c>
      <c r="G12" s="7" t="s">
        <v>48</v>
      </c>
      <c r="H12" s="7" t="s">
        <v>59</v>
      </c>
      <c r="I12" s="7" t="s">
        <v>50</v>
      </c>
      <c r="J12" s="8"/>
      <c r="K12" s="8"/>
      <c r="L12" s="8"/>
      <c r="M12" s="8"/>
      <c r="N12" s="8"/>
      <c r="O12" s="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</row>
    <row r="13" spans="1:259" ht="20.45" customHeight="1" x14ac:dyDescent="0.2">
      <c r="A13" s="12" t="s">
        <v>456</v>
      </c>
      <c r="B13" s="22" t="s">
        <v>386</v>
      </c>
      <c r="D13" s="5">
        <v>1</v>
      </c>
      <c r="E13" s="6" t="s">
        <v>60</v>
      </c>
      <c r="F13" s="7" t="s">
        <v>47</v>
      </c>
      <c r="G13" s="7" t="s">
        <v>48</v>
      </c>
      <c r="H13" s="7" t="s">
        <v>61</v>
      </c>
      <c r="I13" s="7" t="s">
        <v>50</v>
      </c>
      <c r="J13" s="8"/>
      <c r="K13" s="8"/>
      <c r="L13" s="8"/>
      <c r="M13" s="8"/>
      <c r="N13" s="8"/>
      <c r="O13" s="8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</row>
    <row r="14" spans="1:259" ht="20.45" customHeight="1" x14ac:dyDescent="0.2">
      <c r="A14" s="12" t="s">
        <v>456</v>
      </c>
      <c r="B14" s="22"/>
      <c r="C14" s="22" t="s">
        <v>378</v>
      </c>
      <c r="D14" s="5">
        <v>3</v>
      </c>
      <c r="E14" s="6" t="s">
        <v>62</v>
      </c>
      <c r="F14" s="7" t="s">
        <v>47</v>
      </c>
      <c r="G14" s="7" t="s">
        <v>48</v>
      </c>
      <c r="H14" s="7" t="s">
        <v>63</v>
      </c>
      <c r="I14" s="7" t="s">
        <v>50</v>
      </c>
      <c r="J14" s="8"/>
      <c r="K14" s="8"/>
      <c r="L14" s="8"/>
      <c r="M14" s="8"/>
      <c r="N14" s="8"/>
      <c r="O14" s="8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</row>
    <row r="15" spans="1:259" ht="20.45" customHeight="1" x14ac:dyDescent="0.2">
      <c r="C15" s="22" t="s">
        <v>378</v>
      </c>
      <c r="D15" s="5">
        <v>6</v>
      </c>
      <c r="E15" s="6" t="s">
        <v>64</v>
      </c>
      <c r="F15" s="7" t="s">
        <v>47</v>
      </c>
      <c r="G15" s="7" t="s">
        <v>48</v>
      </c>
      <c r="H15" s="7" t="s">
        <v>65</v>
      </c>
      <c r="I15" s="7" t="s">
        <v>50</v>
      </c>
      <c r="J15" s="8"/>
      <c r="K15" s="8"/>
      <c r="L15" s="8"/>
      <c r="M15" s="8"/>
      <c r="N15" s="8"/>
      <c r="O15" s="8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</row>
    <row r="16" spans="1:259" ht="20.45" customHeight="1" x14ac:dyDescent="0.2">
      <c r="C16" s="22" t="s">
        <v>378</v>
      </c>
      <c r="D16" s="5">
        <v>15</v>
      </c>
      <c r="E16" s="6" t="s">
        <v>68</v>
      </c>
      <c r="F16" s="7" t="s">
        <v>47</v>
      </c>
      <c r="G16" s="7" t="s">
        <v>48</v>
      </c>
      <c r="H16" s="7" t="s">
        <v>69</v>
      </c>
      <c r="I16" s="7" t="s">
        <v>50</v>
      </c>
      <c r="J16" s="8"/>
      <c r="K16" s="8"/>
      <c r="L16" s="8"/>
      <c r="M16" s="8"/>
      <c r="N16" s="8"/>
      <c r="O16" s="8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</row>
    <row r="17" spans="1:259" ht="36" customHeight="1" x14ac:dyDescent="0.2">
      <c r="C17" s="22" t="s">
        <v>387</v>
      </c>
      <c r="D17" s="5">
        <v>2</v>
      </c>
      <c r="E17" s="6" t="s">
        <v>70</v>
      </c>
      <c r="F17" s="7" t="s">
        <v>47</v>
      </c>
      <c r="G17" s="7" t="s">
        <v>48</v>
      </c>
      <c r="H17" s="7" t="s">
        <v>71</v>
      </c>
      <c r="I17" s="7" t="s">
        <v>50</v>
      </c>
      <c r="J17" s="8"/>
      <c r="K17" s="8"/>
      <c r="L17" s="8"/>
      <c r="M17" s="8"/>
      <c r="N17" s="8"/>
      <c r="O17" s="8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</row>
    <row r="18" spans="1:259" ht="20.45" customHeight="1" x14ac:dyDescent="0.2">
      <c r="C18" s="22" t="s">
        <v>378</v>
      </c>
      <c r="D18" s="5">
        <v>2</v>
      </c>
      <c r="E18" s="6" t="s">
        <v>72</v>
      </c>
      <c r="F18" s="7" t="s">
        <v>47</v>
      </c>
      <c r="G18" s="7" t="s">
        <v>48</v>
      </c>
      <c r="H18" s="7" t="s">
        <v>73</v>
      </c>
      <c r="I18" s="7" t="s">
        <v>50</v>
      </c>
      <c r="J18" s="8"/>
      <c r="K18" s="8"/>
      <c r="L18" s="8"/>
      <c r="M18" s="8"/>
      <c r="N18" s="8"/>
      <c r="O18" s="8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</row>
    <row r="19" spans="1:259" ht="36" customHeight="1" x14ac:dyDescent="0.2">
      <c r="A19" s="12" t="s">
        <v>456</v>
      </c>
      <c r="C19" s="22" t="s">
        <v>389</v>
      </c>
      <c r="D19" s="5">
        <v>2</v>
      </c>
      <c r="E19" s="6" t="s">
        <v>74</v>
      </c>
      <c r="F19" s="7" t="s">
        <v>66</v>
      </c>
      <c r="G19" s="7" t="s">
        <v>67</v>
      </c>
      <c r="H19" s="14" t="s">
        <v>384</v>
      </c>
      <c r="I19" s="7" t="s">
        <v>50</v>
      </c>
      <c r="J19" s="8"/>
      <c r="K19" s="8"/>
      <c r="L19" s="8"/>
      <c r="M19" s="8"/>
      <c r="N19" s="8"/>
      <c r="O19" s="8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</row>
    <row r="20" spans="1:259" ht="24.75" customHeight="1" x14ac:dyDescent="0.2">
      <c r="A20" s="12" t="s">
        <v>456</v>
      </c>
      <c r="C20" s="22" t="s">
        <v>377</v>
      </c>
      <c r="D20" s="5">
        <v>3</v>
      </c>
      <c r="E20" s="6" t="s">
        <v>75</v>
      </c>
      <c r="F20" s="7" t="s">
        <v>47</v>
      </c>
      <c r="G20" s="7" t="s">
        <v>48</v>
      </c>
      <c r="H20" s="7" t="s">
        <v>76</v>
      </c>
      <c r="I20" s="7" t="s">
        <v>50</v>
      </c>
      <c r="J20" s="8"/>
      <c r="K20" s="8"/>
      <c r="L20" s="8"/>
      <c r="M20" s="8"/>
      <c r="N20" s="8"/>
      <c r="O20" s="8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</row>
    <row r="21" spans="1:259" ht="20.45" customHeight="1" x14ac:dyDescent="0.2">
      <c r="C21" s="22" t="s">
        <v>378</v>
      </c>
      <c r="D21" s="5">
        <v>17</v>
      </c>
      <c r="E21" s="6" t="s">
        <v>77</v>
      </c>
      <c r="F21" s="7" t="s">
        <v>47</v>
      </c>
      <c r="G21" s="7" t="s">
        <v>48</v>
      </c>
      <c r="H21" s="7" t="s">
        <v>78</v>
      </c>
      <c r="I21" s="7" t="s">
        <v>50</v>
      </c>
      <c r="J21" s="8"/>
      <c r="K21" s="8"/>
      <c r="L21" s="8"/>
      <c r="M21" s="8"/>
      <c r="N21" s="8"/>
      <c r="O21" s="8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</row>
    <row r="22" spans="1:259" ht="20.45" customHeight="1" x14ac:dyDescent="0.2">
      <c r="C22" s="22" t="s">
        <v>378</v>
      </c>
      <c r="D22" s="5">
        <v>3</v>
      </c>
      <c r="E22" s="6" t="s">
        <v>79</v>
      </c>
      <c r="F22" s="7" t="s">
        <v>47</v>
      </c>
      <c r="G22" s="7" t="s">
        <v>48</v>
      </c>
      <c r="H22" s="7" t="s">
        <v>80</v>
      </c>
      <c r="I22" s="7" t="s">
        <v>50</v>
      </c>
      <c r="J22" s="8"/>
      <c r="K22" s="8"/>
      <c r="L22" s="8"/>
      <c r="M22" s="8"/>
      <c r="N22" s="8"/>
      <c r="O22" s="8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</row>
    <row r="23" spans="1:259" ht="20.45" customHeight="1" x14ac:dyDescent="0.2">
      <c r="A23" s="12" t="s">
        <v>456</v>
      </c>
      <c r="C23" s="22" t="s">
        <v>378</v>
      </c>
      <c r="D23" s="5">
        <v>1</v>
      </c>
      <c r="E23" s="6" t="s">
        <v>81</v>
      </c>
      <c r="F23" s="7" t="s">
        <v>47</v>
      </c>
      <c r="G23" s="7" t="s">
        <v>48</v>
      </c>
      <c r="H23" s="7" t="s">
        <v>82</v>
      </c>
      <c r="I23" s="7" t="s">
        <v>50</v>
      </c>
      <c r="J23" s="8"/>
      <c r="K23" s="8"/>
      <c r="L23" s="8"/>
      <c r="M23" s="8"/>
      <c r="N23" s="8"/>
      <c r="O23" s="8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</row>
    <row r="24" spans="1:259" ht="20.45" customHeight="1" x14ac:dyDescent="0.2">
      <c r="C24" s="22" t="s">
        <v>378</v>
      </c>
      <c r="D24" s="5">
        <v>2</v>
      </c>
      <c r="E24" s="6" t="s">
        <v>83</v>
      </c>
      <c r="F24" s="7" t="s">
        <v>47</v>
      </c>
      <c r="G24" s="7" t="s">
        <v>48</v>
      </c>
      <c r="H24" s="7" t="s">
        <v>84</v>
      </c>
      <c r="I24" s="7" t="s">
        <v>50</v>
      </c>
      <c r="J24" s="8"/>
      <c r="K24" s="8"/>
      <c r="L24" s="8"/>
      <c r="M24" s="8"/>
      <c r="N24" s="8"/>
      <c r="O24" s="8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</row>
    <row r="25" spans="1:259" ht="20.45" customHeight="1" x14ac:dyDescent="0.2">
      <c r="A25" s="12" t="s">
        <v>456</v>
      </c>
      <c r="B25" s="22" t="s">
        <v>379</v>
      </c>
      <c r="C25" s="22" t="s">
        <v>378</v>
      </c>
      <c r="D25" s="5">
        <v>8</v>
      </c>
      <c r="E25" s="6" t="s">
        <v>85</v>
      </c>
      <c r="F25" s="7" t="s">
        <v>47</v>
      </c>
      <c r="G25" s="7" t="s">
        <v>48</v>
      </c>
      <c r="H25" s="7" t="s">
        <v>86</v>
      </c>
      <c r="I25" s="7" t="s">
        <v>50</v>
      </c>
      <c r="J25" s="8"/>
      <c r="K25" s="8"/>
      <c r="L25" s="8"/>
      <c r="M25" s="8"/>
      <c r="N25" s="8"/>
      <c r="O25" s="8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</row>
    <row r="26" spans="1:259" ht="20.45" customHeight="1" x14ac:dyDescent="0.2">
      <c r="C26" s="22" t="s">
        <v>378</v>
      </c>
      <c r="D26" s="5">
        <v>16</v>
      </c>
      <c r="E26" s="6" t="s">
        <v>87</v>
      </c>
      <c r="F26" s="7" t="s">
        <v>47</v>
      </c>
      <c r="G26" s="7" t="s">
        <v>48</v>
      </c>
      <c r="H26" s="7" t="s">
        <v>88</v>
      </c>
      <c r="I26" s="7" t="s">
        <v>50</v>
      </c>
      <c r="J26" s="8"/>
      <c r="K26" s="8"/>
      <c r="L26" s="8"/>
      <c r="M26" s="8"/>
      <c r="N26" s="8"/>
      <c r="O26" s="8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</row>
    <row r="27" spans="1:259" ht="20.45" customHeight="1" x14ac:dyDescent="0.2">
      <c r="A27" s="12" t="s">
        <v>456</v>
      </c>
      <c r="B27" s="22" t="s">
        <v>380</v>
      </c>
      <c r="C27" s="22" t="s">
        <v>378</v>
      </c>
      <c r="D27" s="5">
        <v>4</v>
      </c>
      <c r="E27" s="6" t="s">
        <v>89</v>
      </c>
      <c r="F27" s="7" t="s">
        <v>47</v>
      </c>
      <c r="G27" s="7" t="s">
        <v>48</v>
      </c>
      <c r="H27" s="7" t="s">
        <v>90</v>
      </c>
      <c r="I27" s="7" t="s">
        <v>50</v>
      </c>
      <c r="J27" s="8"/>
      <c r="K27" s="8"/>
      <c r="L27" s="8"/>
      <c r="M27" s="8"/>
      <c r="N27" s="8"/>
      <c r="O27" s="8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</row>
    <row r="28" spans="1:259" ht="44.25" customHeight="1" x14ac:dyDescent="0.2">
      <c r="A28" s="12" t="s">
        <v>456</v>
      </c>
      <c r="C28" s="22" t="s">
        <v>381</v>
      </c>
      <c r="D28" s="5">
        <v>3</v>
      </c>
      <c r="E28" s="6" t="s">
        <v>91</v>
      </c>
      <c r="F28" s="7" t="s">
        <v>66</v>
      </c>
      <c r="G28" s="7" t="s">
        <v>67</v>
      </c>
      <c r="H28" s="7" t="s">
        <v>92</v>
      </c>
      <c r="I28" s="7" t="s">
        <v>50</v>
      </c>
      <c r="J28" s="8"/>
      <c r="K28" s="8"/>
      <c r="L28" s="8"/>
      <c r="M28" s="8"/>
      <c r="N28" s="8"/>
      <c r="O28" s="8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</row>
    <row r="29" spans="1:259" ht="34.5" customHeight="1" x14ac:dyDescent="0.2">
      <c r="A29" s="12" t="s">
        <v>456</v>
      </c>
      <c r="B29" s="22" t="s">
        <v>372</v>
      </c>
      <c r="C29" s="22" t="s">
        <v>382</v>
      </c>
      <c r="D29" s="5">
        <v>2</v>
      </c>
      <c r="E29" s="15" t="s">
        <v>383</v>
      </c>
      <c r="F29" s="7" t="s">
        <v>47</v>
      </c>
      <c r="G29" s="7" t="s">
        <v>48</v>
      </c>
      <c r="H29" s="7" t="s">
        <v>93</v>
      </c>
      <c r="I29" s="7" t="s">
        <v>50</v>
      </c>
      <c r="J29" s="8"/>
      <c r="K29" s="8"/>
      <c r="L29" s="8"/>
      <c r="M29" s="8"/>
      <c r="N29" s="8"/>
      <c r="O29" s="8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</row>
    <row r="31" spans="1:259" x14ac:dyDescent="0.2">
      <c r="A31" s="12" t="s">
        <v>484</v>
      </c>
      <c r="D31">
        <f>SUM(D3:D29)</f>
        <v>205</v>
      </c>
    </row>
  </sheetData>
  <pageMargins left="0.7" right="0.7" top="0.78740157499999996" bottom="0.78740157499999996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X31"/>
  <sheetViews>
    <sheetView tabSelected="1" workbookViewId="0">
      <selection activeCell="C32" sqref="C32"/>
    </sheetView>
  </sheetViews>
  <sheetFormatPr baseColWidth="10" defaultRowHeight="12.75" x14ac:dyDescent="0.2"/>
  <cols>
    <col min="2" max="2" width="17.85546875" customWidth="1"/>
  </cols>
  <sheetData>
    <row r="1" spans="1:258" s="65" customFormat="1" ht="31.5" customHeight="1" x14ac:dyDescent="0.2">
      <c r="A1" s="81" t="s">
        <v>480</v>
      </c>
      <c r="B1" s="64" t="s">
        <v>365</v>
      </c>
      <c r="C1" s="64" t="s">
        <v>427</v>
      </c>
      <c r="D1" s="64" t="s">
        <v>428</v>
      </c>
      <c r="E1" s="64" t="s">
        <v>428</v>
      </c>
      <c r="F1" s="64" t="s">
        <v>429</v>
      </c>
      <c r="G1" s="64" t="s">
        <v>430</v>
      </c>
      <c r="H1" s="64"/>
      <c r="I1" s="64"/>
      <c r="J1" s="64"/>
      <c r="K1" s="64"/>
      <c r="L1" s="64"/>
      <c r="M1" s="64"/>
      <c r="N1" s="64"/>
    </row>
    <row r="2" spans="1:258" ht="20.45" customHeight="1" x14ac:dyDescent="0.2">
      <c r="A2" s="12" t="s">
        <v>456</v>
      </c>
      <c r="B2" s="12" t="s">
        <v>367</v>
      </c>
      <c r="C2" s="5">
        <v>1</v>
      </c>
      <c r="D2" s="6" t="s">
        <v>336</v>
      </c>
      <c r="E2" s="7" t="s">
        <v>336</v>
      </c>
      <c r="F2" s="7" t="s">
        <v>337</v>
      </c>
      <c r="G2" s="7" t="s">
        <v>338</v>
      </c>
      <c r="H2" s="8"/>
      <c r="I2" s="8"/>
      <c r="J2" s="8"/>
      <c r="K2" s="8"/>
      <c r="L2" s="8"/>
      <c r="M2" s="8"/>
      <c r="N2" s="8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20.45" customHeight="1" x14ac:dyDescent="0.2">
      <c r="A3" s="12" t="s">
        <v>456</v>
      </c>
      <c r="B3" s="12" t="s">
        <v>369</v>
      </c>
      <c r="C3" s="5">
        <v>2</v>
      </c>
      <c r="D3" s="6" t="s">
        <v>339</v>
      </c>
      <c r="E3" s="7" t="s">
        <v>339</v>
      </c>
      <c r="F3" s="7" t="s">
        <v>337</v>
      </c>
      <c r="G3" s="7" t="s">
        <v>340</v>
      </c>
      <c r="H3" s="8"/>
      <c r="I3" s="8"/>
      <c r="J3" s="8"/>
      <c r="K3" s="8"/>
      <c r="L3" s="8"/>
      <c r="M3" s="8"/>
      <c r="N3" s="8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</row>
    <row r="4" spans="1:258" ht="20.45" customHeight="1" x14ac:dyDescent="0.2">
      <c r="A4" s="12" t="s">
        <v>456</v>
      </c>
      <c r="B4" s="12" t="s">
        <v>367</v>
      </c>
      <c r="C4" s="5">
        <v>3</v>
      </c>
      <c r="D4" s="6" t="s">
        <v>341</v>
      </c>
      <c r="E4" s="7" t="s">
        <v>341</v>
      </c>
      <c r="F4" s="7" t="s">
        <v>342</v>
      </c>
      <c r="G4" s="7" t="s">
        <v>343</v>
      </c>
      <c r="H4" s="8"/>
      <c r="I4" s="8"/>
      <c r="J4" s="8"/>
      <c r="K4" s="8"/>
      <c r="L4" s="8"/>
      <c r="M4" s="8"/>
      <c r="N4" s="8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20.45" customHeight="1" x14ac:dyDescent="0.2">
      <c r="A5" s="12" t="s">
        <v>456</v>
      </c>
      <c r="C5" s="5">
        <v>17</v>
      </c>
      <c r="D5" s="6" t="s">
        <v>344</v>
      </c>
      <c r="E5" s="7" t="s">
        <v>344</v>
      </c>
      <c r="F5" s="7" t="s">
        <v>342</v>
      </c>
      <c r="G5" s="7" t="s">
        <v>345</v>
      </c>
      <c r="H5" s="8"/>
      <c r="I5" s="8"/>
      <c r="J5" s="8"/>
      <c r="K5" s="8"/>
      <c r="L5" s="8"/>
      <c r="M5" s="8"/>
      <c r="N5" s="8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20.45" customHeight="1" x14ac:dyDescent="0.2">
      <c r="A6" s="12" t="s">
        <v>456</v>
      </c>
      <c r="B6" s="12" t="s">
        <v>367</v>
      </c>
      <c r="C6" s="5">
        <v>6</v>
      </c>
      <c r="D6" s="6" t="s">
        <v>346</v>
      </c>
      <c r="E6" s="7" t="s">
        <v>346</v>
      </c>
      <c r="F6" s="7" t="s">
        <v>117</v>
      </c>
      <c r="G6" s="7" t="s">
        <v>347</v>
      </c>
      <c r="H6" s="8"/>
      <c r="I6" s="8"/>
      <c r="J6" s="8"/>
      <c r="K6" s="8"/>
      <c r="L6" s="8"/>
      <c r="M6" s="8"/>
      <c r="N6" s="8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20.45" customHeight="1" x14ac:dyDescent="0.2">
      <c r="A7" s="12" t="s">
        <v>456</v>
      </c>
      <c r="B7" s="12" t="s">
        <v>368</v>
      </c>
      <c r="C7" s="5">
        <v>2</v>
      </c>
      <c r="D7" s="6" t="s">
        <v>348</v>
      </c>
      <c r="E7" s="7" t="s">
        <v>348</v>
      </c>
      <c r="F7" s="7" t="s">
        <v>117</v>
      </c>
      <c r="G7" s="7" t="s">
        <v>349</v>
      </c>
      <c r="H7" s="8"/>
      <c r="I7" s="8"/>
      <c r="J7" s="8"/>
      <c r="K7" s="8"/>
      <c r="L7" s="8"/>
      <c r="M7" s="8"/>
      <c r="N7" s="8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x14ac:dyDescent="0.2">
      <c r="A8" s="12" t="s">
        <v>456</v>
      </c>
      <c r="B8" s="12" t="s">
        <v>371</v>
      </c>
      <c r="C8" s="5">
        <v>1</v>
      </c>
      <c r="D8" s="6" t="s">
        <v>327</v>
      </c>
      <c r="E8" s="7" t="s">
        <v>327</v>
      </c>
      <c r="F8" s="7" t="s">
        <v>328</v>
      </c>
      <c r="G8" s="7" t="s">
        <v>329</v>
      </c>
    </row>
    <row r="9" spans="1:258" x14ac:dyDescent="0.2">
      <c r="C9" s="5">
        <v>29</v>
      </c>
      <c r="D9" s="6" t="s">
        <v>148</v>
      </c>
      <c r="E9" s="7" t="s">
        <v>148</v>
      </c>
      <c r="F9" s="7" t="s">
        <v>117</v>
      </c>
      <c r="G9" s="7" t="s">
        <v>149</v>
      </c>
    </row>
    <row r="10" spans="1:258" x14ac:dyDescent="0.2">
      <c r="A10" s="12" t="s">
        <v>456</v>
      </c>
      <c r="B10" s="12" t="s">
        <v>370</v>
      </c>
      <c r="C10" s="5">
        <v>8</v>
      </c>
      <c r="D10" s="6" t="s">
        <v>150</v>
      </c>
      <c r="E10" s="7" t="s">
        <v>148</v>
      </c>
      <c r="F10" s="7" t="s">
        <v>117</v>
      </c>
      <c r="G10" s="7" t="s">
        <v>151</v>
      </c>
    </row>
    <row r="11" spans="1:258" x14ac:dyDescent="0.2">
      <c r="A11" s="12" t="s">
        <v>456</v>
      </c>
      <c r="B11" s="12" t="s">
        <v>370</v>
      </c>
      <c r="C11" s="5">
        <v>1</v>
      </c>
      <c r="D11" s="6" t="s">
        <v>152</v>
      </c>
      <c r="E11" s="7" t="s">
        <v>148</v>
      </c>
      <c r="F11" s="7" t="s">
        <v>117</v>
      </c>
      <c r="G11" s="7" t="s">
        <v>153</v>
      </c>
    </row>
    <row r="12" spans="1:258" x14ac:dyDescent="0.2">
      <c r="C12" s="5">
        <v>8</v>
      </c>
      <c r="D12" s="6" t="s">
        <v>152</v>
      </c>
      <c r="E12" s="7" t="s">
        <v>152</v>
      </c>
      <c r="F12" s="7" t="s">
        <v>154</v>
      </c>
      <c r="G12" s="7" t="s">
        <v>155</v>
      </c>
    </row>
    <row r="13" spans="1:258" x14ac:dyDescent="0.2">
      <c r="A13" s="12" t="s">
        <v>456</v>
      </c>
      <c r="C13" s="5">
        <v>4</v>
      </c>
      <c r="D13" s="6" t="s">
        <v>110</v>
      </c>
      <c r="E13" s="7" t="s">
        <v>110</v>
      </c>
      <c r="F13" s="7" t="s">
        <v>111</v>
      </c>
      <c r="G13" s="7" t="s">
        <v>112</v>
      </c>
    </row>
    <row r="14" spans="1:258" x14ac:dyDescent="0.2">
      <c r="C14" s="5">
        <v>29</v>
      </c>
      <c r="D14" s="6" t="s">
        <v>116</v>
      </c>
      <c r="E14" s="7" t="s">
        <v>116</v>
      </c>
      <c r="F14" s="7" t="s">
        <v>117</v>
      </c>
      <c r="G14" s="7" t="s">
        <v>118</v>
      </c>
    </row>
    <row r="15" spans="1:258" x14ac:dyDescent="0.2">
      <c r="C15" s="5">
        <v>8</v>
      </c>
      <c r="D15" s="6" t="s">
        <v>119</v>
      </c>
      <c r="E15" s="7" t="s">
        <v>119</v>
      </c>
      <c r="F15" s="7" t="s">
        <v>117</v>
      </c>
      <c r="G15" s="7" t="s">
        <v>120</v>
      </c>
    </row>
    <row r="16" spans="1:258" x14ac:dyDescent="0.2">
      <c r="A16" s="12" t="s">
        <v>456</v>
      </c>
      <c r="C16" s="5">
        <v>3</v>
      </c>
      <c r="D16" s="6" t="s">
        <v>121</v>
      </c>
      <c r="E16" s="7" t="s">
        <v>121</v>
      </c>
      <c r="F16" s="7" t="s">
        <v>122</v>
      </c>
      <c r="G16" s="7" t="s">
        <v>123</v>
      </c>
    </row>
    <row r="17" spans="1:7" x14ac:dyDescent="0.2">
      <c r="A17" s="12" t="s">
        <v>456</v>
      </c>
      <c r="C17" s="5">
        <v>1</v>
      </c>
      <c r="D17" s="6" t="s">
        <v>124</v>
      </c>
      <c r="E17" s="7" t="s">
        <v>124</v>
      </c>
      <c r="F17" s="7" t="s">
        <v>125</v>
      </c>
      <c r="G17" s="7" t="s">
        <v>126</v>
      </c>
    </row>
    <row r="18" spans="1:7" x14ac:dyDescent="0.2">
      <c r="A18" s="12" t="s">
        <v>456</v>
      </c>
      <c r="C18" s="5">
        <v>34</v>
      </c>
      <c r="D18" s="6" t="s">
        <v>127</v>
      </c>
      <c r="E18" s="7" t="s">
        <v>128</v>
      </c>
      <c r="F18" s="7" t="s">
        <v>125</v>
      </c>
      <c r="G18" s="7" t="s">
        <v>129</v>
      </c>
    </row>
    <row r="19" spans="1:7" x14ac:dyDescent="0.2">
      <c r="A19" s="12" t="s">
        <v>456</v>
      </c>
      <c r="C19" s="5">
        <v>1</v>
      </c>
      <c r="D19" s="6" t="s">
        <v>130</v>
      </c>
      <c r="E19" s="7" t="s">
        <v>130</v>
      </c>
      <c r="F19" s="7" t="s">
        <v>122</v>
      </c>
      <c r="G19" s="7" t="s">
        <v>131</v>
      </c>
    </row>
    <row r="20" spans="1:7" x14ac:dyDescent="0.2">
      <c r="A20" s="12" t="s">
        <v>456</v>
      </c>
      <c r="B20" s="12" t="s">
        <v>373</v>
      </c>
      <c r="C20" s="5">
        <v>1</v>
      </c>
      <c r="D20" s="6" t="s">
        <v>132</v>
      </c>
      <c r="E20" s="7" t="s">
        <v>133</v>
      </c>
      <c r="F20" s="7" t="s">
        <v>125</v>
      </c>
      <c r="G20" s="7" t="s">
        <v>134</v>
      </c>
    </row>
    <row r="21" spans="1:7" x14ac:dyDescent="0.2">
      <c r="A21" s="12" t="s">
        <v>456</v>
      </c>
      <c r="B21" s="12" t="s">
        <v>372</v>
      </c>
      <c r="C21" s="5">
        <v>2</v>
      </c>
      <c r="D21" s="13" t="s">
        <v>146</v>
      </c>
      <c r="E21" s="7" t="s">
        <v>146</v>
      </c>
      <c r="F21" s="7" t="s">
        <v>114</v>
      </c>
      <c r="G21" s="7" t="s">
        <v>147</v>
      </c>
    </row>
    <row r="22" spans="1:7" x14ac:dyDescent="0.2">
      <c r="A22" s="12" t="s">
        <v>456</v>
      </c>
      <c r="B22" s="12"/>
      <c r="C22" s="5">
        <v>2</v>
      </c>
      <c r="D22" s="13" t="s">
        <v>482</v>
      </c>
      <c r="E22" s="14" t="s">
        <v>113</v>
      </c>
      <c r="F22" s="7" t="s">
        <v>114</v>
      </c>
      <c r="G22" s="7" t="s">
        <v>115</v>
      </c>
    </row>
    <row r="23" spans="1:7" x14ac:dyDescent="0.2">
      <c r="C23" s="5">
        <v>1</v>
      </c>
      <c r="D23" s="10"/>
      <c r="E23" s="7" t="s">
        <v>94</v>
      </c>
      <c r="F23" s="7" t="s">
        <v>95</v>
      </c>
      <c r="G23" s="7" t="s">
        <v>96</v>
      </c>
    </row>
    <row r="24" spans="1:7" x14ac:dyDescent="0.2">
      <c r="C24" s="5">
        <v>53</v>
      </c>
      <c r="D24" s="10"/>
      <c r="E24" s="7" t="s">
        <v>97</v>
      </c>
      <c r="F24" s="7" t="s">
        <v>98</v>
      </c>
      <c r="G24" s="7" t="s">
        <v>99</v>
      </c>
    </row>
    <row r="25" spans="1:7" x14ac:dyDescent="0.2">
      <c r="A25" s="12" t="s">
        <v>456</v>
      </c>
      <c r="B25" s="12" t="s">
        <v>448</v>
      </c>
      <c r="C25" s="5">
        <v>1</v>
      </c>
      <c r="D25" s="16" t="s">
        <v>447</v>
      </c>
      <c r="E25" s="7" t="s">
        <v>108</v>
      </c>
      <c r="F25" s="7" t="s">
        <v>108</v>
      </c>
      <c r="G25" s="7" t="s">
        <v>109</v>
      </c>
    </row>
    <row r="26" spans="1:7" ht="25.5" x14ac:dyDescent="0.2">
      <c r="A26" s="12" t="s">
        <v>456</v>
      </c>
      <c r="B26" s="12" t="s">
        <v>426</v>
      </c>
      <c r="C26" s="5">
        <v>2</v>
      </c>
      <c r="D26" t="s">
        <v>359</v>
      </c>
      <c r="E26" s="12" t="s">
        <v>446</v>
      </c>
      <c r="F26" t="s">
        <v>359</v>
      </c>
      <c r="G26" t="s">
        <v>360</v>
      </c>
    </row>
    <row r="27" spans="1:7" ht="20.45" customHeight="1" x14ac:dyDescent="0.2">
      <c r="A27" s="12" t="s">
        <v>456</v>
      </c>
      <c r="B27" t="s">
        <v>366</v>
      </c>
      <c r="C27" s="5">
        <v>1</v>
      </c>
      <c r="D27" t="s">
        <v>356</v>
      </c>
      <c r="E27" t="s">
        <v>356</v>
      </c>
      <c r="F27" t="s">
        <v>357</v>
      </c>
      <c r="G27" t="s">
        <v>358</v>
      </c>
    </row>
    <row r="28" spans="1:7" ht="20.45" customHeight="1" x14ac:dyDescent="0.2">
      <c r="A28" s="12" t="s">
        <v>456</v>
      </c>
      <c r="B28" t="s">
        <v>366</v>
      </c>
      <c r="C28" s="5">
        <v>1</v>
      </c>
      <c r="D28" t="s">
        <v>361</v>
      </c>
      <c r="E28" t="s">
        <v>361</v>
      </c>
      <c r="F28" t="s">
        <v>357</v>
      </c>
      <c r="G28" t="s">
        <v>362</v>
      </c>
    </row>
    <row r="31" spans="1:7" x14ac:dyDescent="0.2">
      <c r="C31">
        <f>SUM(C2:C29)</f>
        <v>222</v>
      </c>
    </row>
  </sheetData>
  <pageMargins left="0.7" right="0.7" top="0.78740157499999996" bottom="0.78740157499999996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X28"/>
  <sheetViews>
    <sheetView workbookViewId="0">
      <selection activeCell="C29" sqref="C29"/>
    </sheetView>
  </sheetViews>
  <sheetFormatPr baseColWidth="10" defaultRowHeight="12.75" x14ac:dyDescent="0.2"/>
  <cols>
    <col min="4" max="4" width="26.140625" customWidth="1"/>
    <col min="5" max="5" width="14" customWidth="1"/>
  </cols>
  <sheetData>
    <row r="1" spans="1:258" s="66" customFormat="1" ht="31.5" x14ac:dyDescent="0.2">
      <c r="A1" s="66" t="s">
        <v>480</v>
      </c>
      <c r="B1" s="66" t="s">
        <v>365</v>
      </c>
      <c r="C1" s="66" t="s">
        <v>392</v>
      </c>
      <c r="D1" s="66" t="s">
        <v>5</v>
      </c>
    </row>
    <row r="2" spans="1:258" ht="20.45" customHeight="1" x14ac:dyDescent="0.2">
      <c r="A2" s="12" t="s">
        <v>456</v>
      </c>
      <c r="C2" s="5">
        <v>81</v>
      </c>
      <c r="D2" s="15" t="s">
        <v>399</v>
      </c>
      <c r="E2" s="7" t="s">
        <v>363</v>
      </c>
      <c r="F2" s="7" t="s">
        <v>363</v>
      </c>
      <c r="G2" s="7" t="s">
        <v>364</v>
      </c>
      <c r="H2" s="8"/>
      <c r="I2" s="8"/>
      <c r="J2" s="8"/>
      <c r="K2" s="8"/>
      <c r="L2" s="8"/>
      <c r="M2" s="8"/>
      <c r="N2" s="8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20.45" customHeight="1" x14ac:dyDescent="0.2">
      <c r="A3" s="12" t="s">
        <v>456</v>
      </c>
      <c r="C3" s="5">
        <v>81</v>
      </c>
      <c r="D3" s="15" t="s">
        <v>410</v>
      </c>
      <c r="E3" s="7"/>
      <c r="F3" s="7"/>
      <c r="G3" s="7"/>
      <c r="H3" s="8"/>
      <c r="I3" s="8"/>
      <c r="J3" s="8"/>
      <c r="K3" s="8"/>
      <c r="L3" s="8"/>
      <c r="M3" s="8"/>
      <c r="N3" s="8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</row>
    <row r="4" spans="1:258" ht="20.45" customHeight="1" x14ac:dyDescent="0.2">
      <c r="A4" s="12" t="s">
        <v>456</v>
      </c>
      <c r="B4" s="12" t="s">
        <v>374</v>
      </c>
      <c r="C4" s="5">
        <v>1</v>
      </c>
      <c r="D4" s="6" t="s">
        <v>354</v>
      </c>
      <c r="E4" s="7" t="s">
        <v>354</v>
      </c>
      <c r="F4" s="7" t="s">
        <v>354</v>
      </c>
      <c r="G4" s="7" t="s">
        <v>355</v>
      </c>
      <c r="H4" s="8"/>
      <c r="I4" s="8"/>
      <c r="J4" s="8"/>
      <c r="K4" s="8"/>
      <c r="L4" s="8"/>
      <c r="M4" s="8"/>
      <c r="N4" s="8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20.45" customHeight="1" x14ac:dyDescent="0.2">
      <c r="C5" s="5">
        <v>10</v>
      </c>
      <c r="D5" s="6" t="s">
        <v>350</v>
      </c>
      <c r="E5" s="7" t="s">
        <v>350</v>
      </c>
      <c r="F5" s="7" t="s">
        <v>350</v>
      </c>
      <c r="G5" s="7" t="s">
        <v>351</v>
      </c>
      <c r="H5" s="8"/>
      <c r="I5" s="8"/>
      <c r="J5" s="8"/>
      <c r="K5" s="8"/>
      <c r="L5" s="8"/>
      <c r="M5" s="8"/>
      <c r="N5" s="8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20.45" customHeight="1" x14ac:dyDescent="0.2">
      <c r="C6" s="5">
        <v>2</v>
      </c>
      <c r="D6" s="6" t="s">
        <v>352</v>
      </c>
      <c r="E6" s="7" t="s">
        <v>352</v>
      </c>
      <c r="F6" s="7" t="s">
        <v>352</v>
      </c>
      <c r="G6" s="7" t="s">
        <v>353</v>
      </c>
      <c r="H6" s="8"/>
      <c r="I6" s="8"/>
      <c r="J6" s="8"/>
      <c r="K6" s="8"/>
      <c r="L6" s="8"/>
      <c r="M6" s="8"/>
      <c r="N6" s="8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x14ac:dyDescent="0.2">
      <c r="B7" s="12" t="s">
        <v>415</v>
      </c>
      <c r="C7" s="5">
        <v>9</v>
      </c>
      <c r="D7" s="16" t="s">
        <v>420</v>
      </c>
      <c r="E7" s="7" t="s">
        <v>135</v>
      </c>
      <c r="F7" s="7" t="s">
        <v>135</v>
      </c>
      <c r="G7" s="7" t="s">
        <v>136</v>
      </c>
    </row>
    <row r="8" spans="1:258" x14ac:dyDescent="0.2">
      <c r="C8" s="5">
        <v>12</v>
      </c>
      <c r="D8" s="16" t="s">
        <v>393</v>
      </c>
      <c r="E8" s="7" t="s">
        <v>137</v>
      </c>
      <c r="F8" s="7" t="s">
        <v>138</v>
      </c>
      <c r="G8" s="7" t="s">
        <v>139</v>
      </c>
    </row>
    <row r="9" spans="1:258" x14ac:dyDescent="0.2">
      <c r="C9" s="5">
        <v>6</v>
      </c>
      <c r="D9" s="16" t="s">
        <v>393</v>
      </c>
      <c r="E9" s="7" t="s">
        <v>140</v>
      </c>
      <c r="F9" s="7" t="s">
        <v>141</v>
      </c>
      <c r="G9" s="7" t="s">
        <v>142</v>
      </c>
    </row>
    <row r="10" spans="1:258" x14ac:dyDescent="0.2">
      <c r="C10" s="5">
        <v>13</v>
      </c>
      <c r="D10" s="16" t="s">
        <v>393</v>
      </c>
      <c r="E10" s="7" t="s">
        <v>143</v>
      </c>
      <c r="F10" s="7" t="s">
        <v>144</v>
      </c>
      <c r="G10" s="7" t="s">
        <v>145</v>
      </c>
    </row>
    <row r="11" spans="1:258" ht="20.45" customHeight="1" x14ac:dyDescent="0.2">
      <c r="C11" s="5">
        <v>5</v>
      </c>
      <c r="D11" s="16" t="s">
        <v>394</v>
      </c>
      <c r="E11" s="7" t="s">
        <v>27</v>
      </c>
      <c r="F11" s="7" t="s">
        <v>28</v>
      </c>
      <c r="G11" s="7" t="s">
        <v>29</v>
      </c>
      <c r="H11" s="7" t="s">
        <v>30</v>
      </c>
      <c r="I11" s="8"/>
      <c r="J11" s="8"/>
      <c r="K11" s="8"/>
      <c r="L11" s="8"/>
      <c r="M11" s="8"/>
      <c r="N11" s="8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39.75" customHeight="1" x14ac:dyDescent="0.2">
      <c r="A12" s="12" t="s">
        <v>456</v>
      </c>
      <c r="B12" s="12" t="s">
        <v>395</v>
      </c>
      <c r="C12" s="5">
        <v>1</v>
      </c>
      <c r="D12" s="16" t="s">
        <v>394</v>
      </c>
      <c r="E12" s="14" t="s">
        <v>396</v>
      </c>
      <c r="F12" s="14" t="s">
        <v>398</v>
      </c>
      <c r="G12" s="14" t="s">
        <v>397</v>
      </c>
      <c r="H12" s="7" t="s">
        <v>30</v>
      </c>
      <c r="I12" s="8"/>
      <c r="J12" s="8"/>
      <c r="K12" s="8"/>
      <c r="L12" s="8"/>
      <c r="M12" s="8"/>
      <c r="N12" s="8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20.45" customHeight="1" x14ac:dyDescent="0.2">
      <c r="B13" s="12" t="s">
        <v>375</v>
      </c>
      <c r="C13" s="5">
        <v>1</v>
      </c>
      <c r="D13" s="16" t="s">
        <v>394</v>
      </c>
      <c r="E13" s="7" t="s">
        <v>31</v>
      </c>
      <c r="F13" s="7" t="s">
        <v>32</v>
      </c>
      <c r="G13" s="7" t="s">
        <v>33</v>
      </c>
      <c r="H13" s="7" t="s">
        <v>30</v>
      </c>
      <c r="I13" s="8"/>
      <c r="J13" s="8"/>
      <c r="K13" s="8"/>
      <c r="L13" s="8"/>
      <c r="M13" s="8"/>
      <c r="N13" s="8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20.45" customHeight="1" x14ac:dyDescent="0.2">
      <c r="B14" s="12" t="s">
        <v>375</v>
      </c>
      <c r="C14" s="5">
        <v>2</v>
      </c>
      <c r="D14" s="16" t="s">
        <v>394</v>
      </c>
      <c r="E14" s="7" t="s">
        <v>34</v>
      </c>
      <c r="F14" s="7" t="s">
        <v>35</v>
      </c>
      <c r="G14" s="7" t="s">
        <v>36</v>
      </c>
      <c r="H14" s="7" t="s">
        <v>30</v>
      </c>
      <c r="I14" s="8"/>
      <c r="J14" s="8"/>
      <c r="K14" s="8"/>
      <c r="L14" s="8"/>
      <c r="M14" s="8"/>
      <c r="N14" s="8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20.45" customHeight="1" x14ac:dyDescent="0.2">
      <c r="B15" s="12" t="s">
        <v>375</v>
      </c>
      <c r="C15" s="5">
        <v>2</v>
      </c>
      <c r="D15" s="6" t="s">
        <v>323</v>
      </c>
      <c r="E15" s="7" t="s">
        <v>323</v>
      </c>
      <c r="F15" s="7" t="s">
        <v>324</v>
      </c>
      <c r="G15" s="7" t="s">
        <v>325</v>
      </c>
      <c r="H15" s="14" t="s">
        <v>326</v>
      </c>
      <c r="I15" s="8"/>
      <c r="J15" s="8"/>
      <c r="K15" s="8"/>
      <c r="L15" s="8"/>
      <c r="M15" s="8"/>
      <c r="N15" s="8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x14ac:dyDescent="0.2">
      <c r="C16" s="5">
        <v>35</v>
      </c>
      <c r="D16" s="12" t="s">
        <v>390</v>
      </c>
    </row>
    <row r="17" spans="1:258" x14ac:dyDescent="0.2">
      <c r="A17" s="12" t="s">
        <v>456</v>
      </c>
      <c r="C17" s="5">
        <v>4</v>
      </c>
      <c r="D17" s="12" t="s">
        <v>391</v>
      </c>
    </row>
    <row r="18" spans="1:258" x14ac:dyDescent="0.2">
      <c r="A18" s="12" t="s">
        <v>456</v>
      </c>
      <c r="B18" s="12" t="s">
        <v>414</v>
      </c>
      <c r="C18" s="5">
        <v>13</v>
      </c>
      <c r="D18" s="12" t="s">
        <v>416</v>
      </c>
    </row>
    <row r="19" spans="1:258" x14ac:dyDescent="0.2">
      <c r="A19" s="12" t="s">
        <v>456</v>
      </c>
      <c r="B19" s="12" t="s">
        <v>415</v>
      </c>
      <c r="C19" s="5">
        <v>1</v>
      </c>
      <c r="D19" s="12" t="s">
        <v>411</v>
      </c>
    </row>
    <row r="20" spans="1:258" x14ac:dyDescent="0.2">
      <c r="A20" s="12" t="s">
        <v>456</v>
      </c>
      <c r="B20" s="12" t="s">
        <v>413</v>
      </c>
      <c r="C20" s="5">
        <v>3</v>
      </c>
      <c r="D20" s="12" t="s">
        <v>412</v>
      </c>
    </row>
    <row r="21" spans="1:258" ht="25.5" x14ac:dyDescent="0.2">
      <c r="B21" s="12" t="s">
        <v>414</v>
      </c>
      <c r="C21" s="5">
        <v>13</v>
      </c>
      <c r="D21" s="12" t="s">
        <v>417</v>
      </c>
    </row>
    <row r="22" spans="1:258" ht="25.5" x14ac:dyDescent="0.2">
      <c r="A22" s="12" t="s">
        <v>456</v>
      </c>
      <c r="C22" s="5">
        <v>8</v>
      </c>
      <c r="D22" s="12" t="s">
        <v>418</v>
      </c>
    </row>
    <row r="23" spans="1:258" x14ac:dyDescent="0.2">
      <c r="A23" s="12" t="s">
        <v>456</v>
      </c>
      <c r="C23" s="5">
        <v>9</v>
      </c>
      <c r="D23" s="12" t="s">
        <v>419</v>
      </c>
    </row>
    <row r="24" spans="1:258" ht="25.5" x14ac:dyDescent="0.2">
      <c r="A24" s="12" t="s">
        <v>456</v>
      </c>
      <c r="C24" s="24">
        <v>1</v>
      </c>
      <c r="D24" s="24" t="s">
        <v>443</v>
      </c>
      <c r="E24" s="12" t="s">
        <v>442</v>
      </c>
    </row>
    <row r="25" spans="1:258" x14ac:dyDescent="0.2">
      <c r="A25" s="12" t="s">
        <v>456</v>
      </c>
      <c r="C25">
        <v>1</v>
      </c>
      <c r="D25" s="12" t="s">
        <v>444</v>
      </c>
      <c r="E25" s="12" t="s">
        <v>445</v>
      </c>
      <c r="H25" s="7" t="s">
        <v>100</v>
      </c>
      <c r="I25" s="7" t="s">
        <v>101</v>
      </c>
      <c r="J25" s="7" t="s">
        <v>102</v>
      </c>
      <c r="K25" s="11">
        <v>592791</v>
      </c>
      <c r="L25" s="7" t="s">
        <v>103</v>
      </c>
    </row>
    <row r="26" spans="1:258" ht="30" customHeight="1" x14ac:dyDescent="0.2">
      <c r="A26" s="12" t="s">
        <v>456</v>
      </c>
      <c r="C26">
        <v>2</v>
      </c>
      <c r="D26" s="12" t="s">
        <v>472</v>
      </c>
      <c r="E26" s="78" t="s">
        <v>479</v>
      </c>
      <c r="F26" s="77"/>
    </row>
    <row r="27" spans="1:258" ht="20.45" customHeight="1" x14ac:dyDescent="0.2">
      <c r="B27" s="25"/>
      <c r="C27" s="26"/>
      <c r="D27" s="27"/>
      <c r="E27" s="28"/>
      <c r="F27" s="28"/>
      <c r="G27" s="28"/>
      <c r="M27" s="8"/>
      <c r="N27" s="8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x14ac:dyDescent="0.2">
      <c r="A28" s="12" t="s">
        <v>485</v>
      </c>
      <c r="C28">
        <f>SUM(C2:C27)</f>
        <v>316</v>
      </c>
    </row>
  </sheetData>
  <pageMargins left="0.7" right="0.7" top="0.78740157499999996" bottom="0.78740157499999996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B12" sqref="B12"/>
    </sheetView>
  </sheetViews>
  <sheetFormatPr baseColWidth="10" defaultRowHeight="12.75" x14ac:dyDescent="0.2"/>
  <cols>
    <col min="2" max="2" width="10.85546875" style="48"/>
    <col min="3" max="3" width="19.140625" customWidth="1"/>
    <col min="4" max="4" width="63.28515625" customWidth="1"/>
  </cols>
  <sheetData>
    <row r="1" spans="1:4" s="68" customFormat="1" ht="31.5" x14ac:dyDescent="0.2">
      <c r="A1" s="68" t="s">
        <v>480</v>
      </c>
      <c r="B1" s="67" t="s">
        <v>392</v>
      </c>
      <c r="C1" s="68" t="s">
        <v>438</v>
      </c>
      <c r="D1" s="68" t="s">
        <v>439</v>
      </c>
    </row>
    <row r="3" spans="1:4" x14ac:dyDescent="0.2">
      <c r="A3" s="12" t="s">
        <v>456</v>
      </c>
      <c r="B3" s="47" t="s">
        <v>405</v>
      </c>
      <c r="C3" s="12" t="s">
        <v>404</v>
      </c>
      <c r="D3" s="12" t="s">
        <v>407</v>
      </c>
    </row>
    <row r="4" spans="1:4" x14ac:dyDescent="0.2">
      <c r="A4" s="12" t="s">
        <v>456</v>
      </c>
      <c r="B4" s="47" t="s">
        <v>403</v>
      </c>
      <c r="C4" s="12" t="s">
        <v>400</v>
      </c>
      <c r="D4" s="12" t="s">
        <v>406</v>
      </c>
    </row>
    <row r="5" spans="1:4" x14ac:dyDescent="0.2">
      <c r="A5" s="12" t="s">
        <v>456</v>
      </c>
      <c r="B5" s="48">
        <v>1</v>
      </c>
      <c r="C5" s="12" t="s">
        <v>401</v>
      </c>
      <c r="D5" s="12" t="s">
        <v>408</v>
      </c>
    </row>
    <row r="6" spans="1:4" x14ac:dyDescent="0.2">
      <c r="A6" s="12" t="s">
        <v>456</v>
      </c>
      <c r="B6" s="48">
        <v>2</v>
      </c>
      <c r="C6" s="12" t="s">
        <v>402</v>
      </c>
      <c r="D6" s="12" t="s">
        <v>409</v>
      </c>
    </row>
    <row r="7" spans="1:4" x14ac:dyDescent="0.2">
      <c r="A7" s="12" t="s">
        <v>456</v>
      </c>
      <c r="B7" s="48">
        <v>1</v>
      </c>
      <c r="C7" s="22" t="s">
        <v>437</v>
      </c>
    </row>
    <row r="8" spans="1:4" x14ac:dyDescent="0.2">
      <c r="A8" s="12" t="s">
        <v>456</v>
      </c>
      <c r="B8" s="48">
        <v>1</v>
      </c>
      <c r="C8" s="12" t="s">
        <v>440</v>
      </c>
      <c r="D8" t="s">
        <v>441</v>
      </c>
    </row>
    <row r="11" spans="1:4" x14ac:dyDescent="0.2">
      <c r="A11" s="12" t="s">
        <v>486</v>
      </c>
      <c r="B11" s="48">
        <v>6</v>
      </c>
    </row>
  </sheetData>
  <pageMargins left="0.7" right="0.7" top="0.78740157499999996" bottom="0.78740157499999996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12"/>
  <sheetViews>
    <sheetView workbookViewId="0">
      <selection activeCell="I13" sqref="I13"/>
    </sheetView>
  </sheetViews>
  <sheetFormatPr baseColWidth="10" defaultRowHeight="12.75" x14ac:dyDescent="0.2"/>
  <sheetData>
    <row r="4" spans="1:9" x14ac:dyDescent="0.2">
      <c r="B4" s="12">
        <v>567</v>
      </c>
    </row>
    <row r="5" spans="1:9" x14ac:dyDescent="0.2">
      <c r="B5">
        <v>205</v>
      </c>
    </row>
    <row r="6" spans="1:9" x14ac:dyDescent="0.2">
      <c r="B6">
        <v>222</v>
      </c>
    </row>
    <row r="7" spans="1:9" x14ac:dyDescent="0.2">
      <c r="B7">
        <v>316</v>
      </c>
    </row>
    <row r="8" spans="1:9" x14ac:dyDescent="0.2">
      <c r="B8">
        <v>6</v>
      </c>
    </row>
    <row r="9" spans="1:9" ht="25.5" x14ac:dyDescent="0.2">
      <c r="A9" s="12" t="s">
        <v>487</v>
      </c>
      <c r="B9">
        <f>SUM(B4:B8)</f>
        <v>1316</v>
      </c>
    </row>
    <row r="12" spans="1:9" ht="25.5" x14ac:dyDescent="0.2">
      <c r="A12" s="12" t="s">
        <v>488</v>
      </c>
      <c r="B12" s="12" t="s">
        <v>489</v>
      </c>
      <c r="C12" s="12" t="s">
        <v>490</v>
      </c>
      <c r="D12" s="12" t="s">
        <v>491</v>
      </c>
      <c r="E12" s="12" t="s">
        <v>492</v>
      </c>
      <c r="F12" s="12" t="s">
        <v>493</v>
      </c>
      <c r="G12" s="12" t="s">
        <v>494</v>
      </c>
      <c r="H12" s="12" t="s">
        <v>495</v>
      </c>
      <c r="I12">
        <v>108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7</vt:i4>
      </vt:variant>
      <vt:variant>
        <vt:lpstr>Benannte Bereiche</vt:lpstr>
      </vt:variant>
      <vt:variant>
        <vt:i4>2</vt:i4>
      </vt:variant>
    </vt:vector>
  </HeadingPairs>
  <TitlesOfParts>
    <vt:vector size="9" baseType="lpstr">
      <vt:lpstr>info</vt:lpstr>
      <vt:lpstr>Resistors</vt:lpstr>
      <vt:lpstr>Capacitors</vt:lpstr>
      <vt:lpstr>Semis</vt:lpstr>
      <vt:lpstr>mechanical parts</vt:lpstr>
      <vt:lpstr>others</vt:lpstr>
      <vt:lpstr>Tabelle1</vt:lpstr>
      <vt:lpstr>info!Druckbereich</vt:lpstr>
      <vt:lpstr>Resistors!Druckbereich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Joericke, Patrick (EXTERN: BERIS)</dc:creator>
  <cp:lastModifiedBy>Joericke, Patrick (EXTERN: BERIS)</cp:lastModifiedBy>
  <dcterms:created xsi:type="dcterms:W3CDTF">2017-01-13T12:23:02Z</dcterms:created>
  <dcterms:modified xsi:type="dcterms:W3CDTF">2017-01-18T09:23:05Z</dcterms:modified>
</cp:coreProperties>
</file>