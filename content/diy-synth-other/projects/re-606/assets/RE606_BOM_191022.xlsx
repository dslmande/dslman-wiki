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poly caps" sheetId="5" r:id="rId8"/>
  </sheets>
  <definedNames>
    <definedName hidden="1" localSheetId="0" name="_xlnm._FilterDatabase">Sheet1!$A$1:$BN$158</definedName>
  </definedNames>
  <calcPr/>
  <extLst>
    <ext uri="GoogleSheetsCustomDataVersion1">
      <go:sheetsCustomData xmlns:go="http://customooxmlschemas.google.com/" r:id="rId9" roundtripDataSignature="AMtx7mjtQcFFpTbCoxAButOg1506wXMPrw=="/>
    </ext>
  </extLst>
</workbook>
</file>

<file path=xl/sharedStrings.xml><?xml version="1.0" encoding="utf-8"?>
<sst xmlns="http://schemas.openxmlformats.org/spreadsheetml/2006/main" count="1327" uniqueCount="998">
  <si>
    <t>220p</t>
  </si>
  <si>
    <t>1000p SMD</t>
  </si>
  <si>
    <t>1N60A</t>
  </si>
  <si>
    <t>50k Linear</t>
  </si>
  <si>
    <t>10k Linear</t>
  </si>
  <si>
    <t>560k</t>
  </si>
  <si>
    <t>LA4140</t>
  </si>
  <si>
    <t>Mouser</t>
  </si>
  <si>
    <t>647-UKL1HR47KDDANA</t>
  </si>
  <si>
    <t>|</t>
  </si>
  <si>
    <t>647-UKL0J102MPD1TD</t>
  </si>
  <si>
    <t>Qty</t>
  </si>
  <si>
    <t>Replacement</t>
  </si>
  <si>
    <t>Store</t>
  </si>
  <si>
    <t>Part #</t>
  </si>
  <si>
    <t>647-UKL1C101MPDANA</t>
  </si>
  <si>
    <t>break</t>
  </si>
  <si>
    <t>Resistors</t>
  </si>
  <si>
    <t>647-UKL1C100KDDANA</t>
  </si>
  <si>
    <t>647-UKL2A010KDD</t>
  </si>
  <si>
    <t>647-UKL1H2R2KDDANA</t>
  </si>
  <si>
    <t>C5</t>
  </si>
  <si>
    <t>C7</t>
  </si>
  <si>
    <t>647-UKL1C470KEDANA</t>
  </si>
  <si>
    <t>C6</t>
  </si>
  <si>
    <t>R23</t>
  </si>
  <si>
    <t>C8</t>
  </si>
  <si>
    <t>C9</t>
  </si>
  <si>
    <t>C10</t>
  </si>
  <si>
    <t>R80</t>
  </si>
  <si>
    <t>810-CC45SL3AD220JYNA</t>
  </si>
  <si>
    <t>C26</t>
  </si>
  <si>
    <t>C27</t>
  </si>
  <si>
    <t>IC6</t>
  </si>
  <si>
    <t>R70</t>
  </si>
  <si>
    <t>R72</t>
  </si>
  <si>
    <t>R73</t>
  </si>
  <si>
    <t>R74</t>
  </si>
  <si>
    <t>R75</t>
  </si>
  <si>
    <t>R48</t>
  </si>
  <si>
    <t>R49</t>
  </si>
  <si>
    <t>R50</t>
  </si>
  <si>
    <t>IC3</t>
  </si>
  <si>
    <t>IC2</t>
  </si>
  <si>
    <t>810-CC45SL3AD221JYNA</t>
  </si>
  <si>
    <t>C14</t>
  </si>
  <si>
    <t>R42</t>
  </si>
  <si>
    <t>Fuse Resistor</t>
  </si>
  <si>
    <t>R237</t>
  </si>
  <si>
    <t>R43</t>
  </si>
  <si>
    <t>R44</t>
  </si>
  <si>
    <t>Q10</t>
  </si>
  <si>
    <t>Q7</t>
  </si>
  <si>
    <t>C13</t>
  </si>
  <si>
    <t>Digikey</t>
  </si>
  <si>
    <t>R36</t>
  </si>
  <si>
    <t>Q5</t>
  </si>
  <si>
    <t>647-QYX1H102JTP</t>
  </si>
  <si>
    <t>Q6</t>
  </si>
  <si>
    <t>C12</t>
  </si>
  <si>
    <t>D6</t>
  </si>
  <si>
    <t>D7</t>
  </si>
  <si>
    <t>CFM14JT10R0</t>
  </si>
  <si>
    <t>647-QYX1H152JTP</t>
  </si>
  <si>
    <t>647-QYX1H222JTP</t>
  </si>
  <si>
    <t>647-QYX1H332JTP</t>
  </si>
  <si>
    <t>647-QYX1H392KTP</t>
  </si>
  <si>
    <t xml:space="preserve">R343 </t>
  </si>
  <si>
    <t xml:space="preserve">R344 </t>
  </si>
  <si>
    <t>647-QYX1H472JTP</t>
  </si>
  <si>
    <t>647-QYX1H682JTP</t>
  </si>
  <si>
    <t>647-QYX1H103JTP</t>
  </si>
  <si>
    <t>CFM14JT22R0</t>
  </si>
  <si>
    <t>647-QYX1H123KTP</t>
  </si>
  <si>
    <t>CFM14JT33R0</t>
  </si>
  <si>
    <t>647-QYX1H153JTP</t>
  </si>
  <si>
    <t>647-QYX1H473JTP</t>
  </si>
  <si>
    <t>R233</t>
  </si>
  <si>
    <t>Value</t>
  </si>
  <si>
    <t>647-QYX1H563KTP</t>
  </si>
  <si>
    <t>Lead Spacing</t>
  </si>
  <si>
    <t>CFM14JT100R</t>
  </si>
  <si>
    <t>647-QYX1H683KTPT</t>
  </si>
  <si>
    <t>1n (102)</t>
  </si>
  <si>
    <t>5mm</t>
  </si>
  <si>
    <t>QYX2A102KTP3TA</t>
  </si>
  <si>
    <t>821-1SS133M</t>
  </si>
  <si>
    <t>R53</t>
  </si>
  <si>
    <t>R54</t>
  </si>
  <si>
    <t>R55</t>
  </si>
  <si>
    <t xml:space="preserve">R103 </t>
  </si>
  <si>
    <t xml:space="preserve">R146 </t>
  </si>
  <si>
    <t xml:space="preserve">R151 </t>
  </si>
  <si>
    <t xml:space="preserve">R171 </t>
  </si>
  <si>
    <t xml:space="preserve">R179 </t>
  </si>
  <si>
    <t>78-TZX15C</t>
  </si>
  <si>
    <t>1.5n (152)</t>
  </si>
  <si>
    <t xml:space="preserve">R199 </t>
  </si>
  <si>
    <t xml:space="preserve">R201 </t>
  </si>
  <si>
    <t xml:space="preserve">R216 </t>
  </si>
  <si>
    <t>QYX1H152JTP</t>
  </si>
  <si>
    <t xml:space="preserve">R217 </t>
  </si>
  <si>
    <t xml:space="preserve">R321 </t>
  </si>
  <si>
    <t xml:space="preserve">R334 </t>
  </si>
  <si>
    <t xml:space="preserve">R352 </t>
  </si>
  <si>
    <t>78-TZX6V8C</t>
  </si>
  <si>
    <t xml:space="preserve">R355 </t>
  </si>
  <si>
    <t>R416</t>
  </si>
  <si>
    <t>R417</t>
  </si>
  <si>
    <t>R418</t>
  </si>
  <si>
    <t>R419</t>
  </si>
  <si>
    <t>1.8n (182)</t>
  </si>
  <si>
    <t>QYX2A182JTP</t>
  </si>
  <si>
    <t>863-1N4004G</t>
  </si>
  <si>
    <t>2.2n (222)</t>
  </si>
  <si>
    <t>QYX1H222KTP3TA</t>
  </si>
  <si>
    <t>630-HLMP-1700</t>
  </si>
  <si>
    <t>CFM14JT180R</t>
  </si>
  <si>
    <t>595-LM339N</t>
  </si>
  <si>
    <t>3.3n (332)</t>
  </si>
  <si>
    <t>QYX1H332JTP</t>
  </si>
  <si>
    <t>595-CD4001BE</t>
  </si>
  <si>
    <t>3.9n (392)</t>
  </si>
  <si>
    <t>595-CD4013BE</t>
  </si>
  <si>
    <t>QYX1H392KTP</t>
  </si>
  <si>
    <t>R323</t>
  </si>
  <si>
    <t>755-BU4584B</t>
  </si>
  <si>
    <t>4.7n (472)</t>
  </si>
  <si>
    <t>QYX1H472KTP</t>
  </si>
  <si>
    <t>595-RC4558P</t>
  </si>
  <si>
    <t>6.8n (682)</t>
  </si>
  <si>
    <t>QYX2A682KTP</t>
  </si>
  <si>
    <t>513-NJM2904D</t>
  </si>
  <si>
    <t>512-TIP30C</t>
  </si>
  <si>
    <t>10n (103)</t>
  </si>
  <si>
    <t>QYX2A103KTP</t>
  </si>
  <si>
    <t>CFM14JT220R</t>
  </si>
  <si>
    <t>512-KSA916YTA</t>
  </si>
  <si>
    <t>12n (123)</t>
  </si>
  <si>
    <t xml:space="preserve">R133 </t>
  </si>
  <si>
    <t>512-KSD1616AYTA</t>
  </si>
  <si>
    <t xml:space="preserve">R140 </t>
  </si>
  <si>
    <t xml:space="preserve">R141 </t>
  </si>
  <si>
    <t>15n (153)</t>
  </si>
  <si>
    <t>QYX2A153KTP</t>
  </si>
  <si>
    <t>CFM14JT330R</t>
  </si>
  <si>
    <t>652-3306F-1-103</t>
  </si>
  <si>
    <t>18n (183)</t>
  </si>
  <si>
    <t xml:space="preserve">R107 </t>
  </si>
  <si>
    <t>QYX2A183JTP</t>
  </si>
  <si>
    <t>652-3306F-1-104</t>
  </si>
  <si>
    <t xml:space="preserve">R222 </t>
  </si>
  <si>
    <t xml:space="preserve">R223 </t>
  </si>
  <si>
    <t>490-SDS-50J</t>
  </si>
  <si>
    <t>688-SKQEAAA010</t>
  </si>
  <si>
    <t>27n (273)</t>
  </si>
  <si>
    <t>QYX1H273JTP</t>
  </si>
  <si>
    <t>571-FSN-23A-10</t>
  </si>
  <si>
    <t>39n (393)</t>
  </si>
  <si>
    <t>QYX2A393JTP</t>
  </si>
  <si>
    <t>749-911-6MM</t>
  </si>
  <si>
    <t>47n (473)</t>
  </si>
  <si>
    <t>QYX1H473KTP</t>
  </si>
  <si>
    <t>CFM14JT820R</t>
  </si>
  <si>
    <t>56n (563)</t>
  </si>
  <si>
    <t>QYX1H563JTP</t>
  </si>
  <si>
    <t xml:space="preserve">R115 </t>
  </si>
  <si>
    <t>R402</t>
  </si>
  <si>
    <t>R428</t>
  </si>
  <si>
    <t>R429</t>
  </si>
  <si>
    <t>68n (683)</t>
  </si>
  <si>
    <t>QYX1H683KTP3TA</t>
  </si>
  <si>
    <t xml:space="preserve">R318 </t>
  </si>
  <si>
    <t xml:space="preserve">R333 </t>
  </si>
  <si>
    <t>1k</t>
  </si>
  <si>
    <t>CFM14JT1K00</t>
  </si>
  <si>
    <t>R2</t>
  </si>
  <si>
    <t>R18</t>
  </si>
  <si>
    <t>R35</t>
  </si>
  <si>
    <t>R64</t>
  </si>
  <si>
    <t>R99</t>
  </si>
  <si>
    <t xml:space="preserve">R100 </t>
  </si>
  <si>
    <t xml:space="preserve">R157 </t>
  </si>
  <si>
    <t xml:space="preserve">R158 </t>
  </si>
  <si>
    <t xml:space="preserve">R193 </t>
  </si>
  <si>
    <t xml:space="preserve">R210 </t>
  </si>
  <si>
    <t xml:space="preserve">R218 </t>
  </si>
  <si>
    <t xml:space="preserve">R310 </t>
  </si>
  <si>
    <t xml:space="preserve">R311 </t>
  </si>
  <si>
    <t>R404</t>
  </si>
  <si>
    <t>1k5</t>
  </si>
  <si>
    <t>CFM14JT1K50</t>
  </si>
  <si>
    <t>R235</t>
  </si>
  <si>
    <t>R238</t>
  </si>
  <si>
    <t>2k2</t>
  </si>
  <si>
    <t>CFM14JT2K20</t>
  </si>
  <si>
    <t xml:space="preserve">R117 </t>
  </si>
  <si>
    <t xml:space="preserve">R337 </t>
  </si>
  <si>
    <t>R420</t>
  </si>
  <si>
    <t>R421</t>
  </si>
  <si>
    <t>R422</t>
  </si>
  <si>
    <t>R423</t>
  </si>
  <si>
    <t>3k3</t>
  </si>
  <si>
    <t>CFM14JT3K30</t>
  </si>
  <si>
    <t>R58</t>
  </si>
  <si>
    <t>R76</t>
  </si>
  <si>
    <t>R77</t>
  </si>
  <si>
    <t>R78</t>
  </si>
  <si>
    <t>R79</t>
  </si>
  <si>
    <t>R234</t>
  </si>
  <si>
    <t>R247</t>
  </si>
  <si>
    <t>R412</t>
  </si>
  <si>
    <t>R413</t>
  </si>
  <si>
    <t>R414</t>
  </si>
  <si>
    <t>R415</t>
  </si>
  <si>
    <t>4k7</t>
  </si>
  <si>
    <t>CFM14JT4K70</t>
  </si>
  <si>
    <t>R39</t>
  </si>
  <si>
    <t>R62</t>
  </si>
  <si>
    <t>R87</t>
  </si>
  <si>
    <t>R97</t>
  </si>
  <si>
    <t xml:space="preserve">R127 </t>
  </si>
  <si>
    <t xml:space="preserve">R130 </t>
  </si>
  <si>
    <t xml:space="preserve">R305 </t>
  </si>
  <si>
    <t xml:space="preserve">R308 </t>
  </si>
  <si>
    <t xml:space="preserve">R347 </t>
  </si>
  <si>
    <t xml:space="preserve">R350 </t>
  </si>
  <si>
    <t xml:space="preserve">R353 </t>
  </si>
  <si>
    <t>5k6</t>
  </si>
  <si>
    <t>CFM14JT5K60</t>
  </si>
  <si>
    <t>R204</t>
  </si>
  <si>
    <t>R403</t>
  </si>
  <si>
    <t>6k8</t>
  </si>
  <si>
    <t>R122</t>
  </si>
  <si>
    <t>10k</t>
  </si>
  <si>
    <t>CFM14JT10K0</t>
  </si>
  <si>
    <t>R11</t>
  </si>
  <si>
    <t>R28</t>
  </si>
  <si>
    <t>R52</t>
  </si>
  <si>
    <t>R56</t>
  </si>
  <si>
    <t>R63</t>
  </si>
  <si>
    <t>R67</t>
  </si>
  <si>
    <t>R68</t>
  </si>
  <si>
    <t>R85</t>
  </si>
  <si>
    <t>R86</t>
  </si>
  <si>
    <t>R93</t>
  </si>
  <si>
    <t>R95</t>
  </si>
  <si>
    <t>R96</t>
  </si>
  <si>
    <t>R98</t>
  </si>
  <si>
    <t xml:space="preserve">R102 </t>
  </si>
  <si>
    <t xml:space="preserve">R109 </t>
  </si>
  <si>
    <t xml:space="preserve">R111 </t>
  </si>
  <si>
    <t xml:space="preserve">R125 </t>
  </si>
  <si>
    <t xml:space="preserve">R126 </t>
  </si>
  <si>
    <t xml:space="preserve">R128 </t>
  </si>
  <si>
    <t xml:space="preserve">R129 </t>
  </si>
  <si>
    <t xml:space="preserve">R139 </t>
  </si>
  <si>
    <t xml:space="preserve">R145 </t>
  </si>
  <si>
    <t xml:space="preserve">R156 </t>
  </si>
  <si>
    <t xml:space="preserve">R302 </t>
  </si>
  <si>
    <t xml:space="preserve">R304 </t>
  </si>
  <si>
    <t xml:space="preserve">R306 </t>
  </si>
  <si>
    <t xml:space="preserve">R307 </t>
  </si>
  <si>
    <t xml:space="preserve">R309 </t>
  </si>
  <si>
    <t xml:space="preserve">R312 </t>
  </si>
  <si>
    <t xml:space="preserve">R316 </t>
  </si>
  <si>
    <t xml:space="preserve">R322 </t>
  </si>
  <si>
    <t xml:space="preserve">R346 </t>
  </si>
  <si>
    <t xml:space="preserve">R348 </t>
  </si>
  <si>
    <t xml:space="preserve">R351 </t>
  </si>
  <si>
    <t>R424</t>
  </si>
  <si>
    <t>R425</t>
  </si>
  <si>
    <t>R426</t>
  </si>
  <si>
    <t>12k</t>
  </si>
  <si>
    <t>CFM14JT12K0</t>
  </si>
  <si>
    <t>R66</t>
  </si>
  <si>
    <t xml:space="preserve">R172 </t>
  </si>
  <si>
    <t>15k</t>
  </si>
  <si>
    <t>CFM14JT15K0</t>
  </si>
  <si>
    <t xml:space="preserve">R6 </t>
  </si>
  <si>
    <t>R21</t>
  </si>
  <si>
    <t>R26</t>
  </si>
  <si>
    <t>R37</t>
  </si>
  <si>
    <t>R38</t>
  </si>
  <si>
    <t xml:space="preserve">R121 </t>
  </si>
  <si>
    <t xml:space="preserve">R182 </t>
  </si>
  <si>
    <t xml:space="preserve">R183 </t>
  </si>
  <si>
    <t xml:space="preserve">R184 </t>
  </si>
  <si>
    <t>R241</t>
  </si>
  <si>
    <t xml:space="preserve">R326 </t>
  </si>
  <si>
    <t xml:space="preserve">R327 </t>
  </si>
  <si>
    <t>R405</t>
  </si>
  <si>
    <t>R406</t>
  </si>
  <si>
    <t>R430</t>
  </si>
  <si>
    <t>R431</t>
  </si>
  <si>
    <t>R432</t>
  </si>
  <si>
    <t>R433</t>
  </si>
  <si>
    <t>18k</t>
  </si>
  <si>
    <t>CFM14JT18K0</t>
  </si>
  <si>
    <t>R60</t>
  </si>
  <si>
    <t xml:space="preserve">R104 </t>
  </si>
  <si>
    <t xml:space="preserve">R174 </t>
  </si>
  <si>
    <t xml:space="preserve">R203 </t>
  </si>
  <si>
    <t>22k</t>
  </si>
  <si>
    <t>CFM14JT22K0</t>
  </si>
  <si>
    <t>R16</t>
  </si>
  <si>
    <t>R17</t>
  </si>
  <si>
    <t>R29</t>
  </si>
  <si>
    <t>R40</t>
  </si>
  <si>
    <t>R51</t>
  </si>
  <si>
    <t>R69</t>
  </si>
  <si>
    <t>R84</t>
  </si>
  <si>
    <t>R88</t>
  </si>
  <si>
    <t>R89</t>
  </si>
  <si>
    <t>R91</t>
  </si>
  <si>
    <t xml:space="preserve">R108 </t>
  </si>
  <si>
    <t xml:space="preserve">R113 </t>
  </si>
  <si>
    <t xml:space="preserve">R132 </t>
  </si>
  <si>
    <t xml:space="preserve">R138 </t>
  </si>
  <si>
    <t xml:space="preserve">R149 </t>
  </si>
  <si>
    <t xml:space="preserve">R153 </t>
  </si>
  <si>
    <t xml:space="preserve">R154 </t>
  </si>
  <si>
    <t xml:space="preserve">R159 </t>
  </si>
  <si>
    <t xml:space="preserve">R161 </t>
  </si>
  <si>
    <t xml:space="preserve">R162 </t>
  </si>
  <si>
    <t xml:space="preserve">R166 </t>
  </si>
  <si>
    <t xml:space="preserve">R191 </t>
  </si>
  <si>
    <t xml:space="preserve">R197 </t>
  </si>
  <si>
    <t xml:space="preserve">R200 </t>
  </si>
  <si>
    <t xml:space="preserve">R211 </t>
  </si>
  <si>
    <t xml:space="preserve">R221 </t>
  </si>
  <si>
    <t xml:space="preserve">R301 </t>
  </si>
  <si>
    <t xml:space="preserve">R303 </t>
  </si>
  <si>
    <t xml:space="preserve">R320 </t>
  </si>
  <si>
    <t xml:space="preserve">R328 </t>
  </si>
  <si>
    <t xml:space="preserve">R332 </t>
  </si>
  <si>
    <t xml:space="preserve">R340 </t>
  </si>
  <si>
    <t xml:space="preserve">R341 </t>
  </si>
  <si>
    <t xml:space="preserve">R342 </t>
  </si>
  <si>
    <t>27k</t>
  </si>
  <si>
    <t>CFM14JT27K0</t>
  </si>
  <si>
    <t xml:space="preserve">R105 </t>
  </si>
  <si>
    <t xml:space="preserve">R120 </t>
  </si>
  <si>
    <t>R239</t>
  </si>
  <si>
    <t>R242</t>
  </si>
  <si>
    <t>33k</t>
  </si>
  <si>
    <t>CFM14JT33K0</t>
  </si>
  <si>
    <t>R3</t>
  </si>
  <si>
    <t>R19</t>
  </si>
  <si>
    <t>R27</t>
  </si>
  <si>
    <t>R32</t>
  </si>
  <si>
    <t>R71</t>
  </si>
  <si>
    <t>R83</t>
  </si>
  <si>
    <t>R90</t>
  </si>
  <si>
    <t>R92</t>
  </si>
  <si>
    <t xml:space="preserve">R134 </t>
  </si>
  <si>
    <t xml:space="preserve">R168 </t>
  </si>
  <si>
    <t xml:space="preserve">R169 </t>
  </si>
  <si>
    <t xml:space="preserve">R170 </t>
  </si>
  <si>
    <t xml:space="preserve">R181 </t>
  </si>
  <si>
    <t xml:space="preserve">R185 </t>
  </si>
  <si>
    <t xml:space="preserve">R186 </t>
  </si>
  <si>
    <t xml:space="preserve">R190 </t>
  </si>
  <si>
    <t xml:space="preserve">R339 </t>
  </si>
  <si>
    <t xml:space="preserve">R354 </t>
  </si>
  <si>
    <t>39k</t>
  </si>
  <si>
    <t>CFM14JT39K0</t>
  </si>
  <si>
    <t xml:space="preserve">R175 </t>
  </si>
  <si>
    <t xml:space="preserve">R176 </t>
  </si>
  <si>
    <t xml:space="preserve">R177 </t>
  </si>
  <si>
    <t xml:space="preserve">R178 </t>
  </si>
  <si>
    <t xml:space="preserve">R205 </t>
  </si>
  <si>
    <t xml:space="preserve">R206 </t>
  </si>
  <si>
    <t xml:space="preserve">R207 </t>
  </si>
  <si>
    <t xml:space="preserve">R208 </t>
  </si>
  <si>
    <t xml:space="preserve">R319 </t>
  </si>
  <si>
    <t>R411</t>
  </si>
  <si>
    <t>47k</t>
  </si>
  <si>
    <t>CFM14JT47K0</t>
  </si>
  <si>
    <t>R1</t>
  </si>
  <si>
    <t>R12</t>
  </si>
  <si>
    <t>R13</t>
  </si>
  <si>
    <t>R14</t>
  </si>
  <si>
    <t>R15</t>
  </si>
  <si>
    <t>R22</t>
  </si>
  <si>
    <t>R41</t>
  </si>
  <si>
    <t>R47</t>
  </si>
  <si>
    <t>R57</t>
  </si>
  <si>
    <t>R65</t>
  </si>
  <si>
    <t>R81</t>
  </si>
  <si>
    <t>R82</t>
  </si>
  <si>
    <t>R94</t>
  </si>
  <si>
    <t xml:space="preserve">R114 </t>
  </si>
  <si>
    <t xml:space="preserve">R118 </t>
  </si>
  <si>
    <t xml:space="preserve">R123 </t>
  </si>
  <si>
    <t xml:space="preserve">R124 </t>
  </si>
  <si>
    <t xml:space="preserve">R142 </t>
  </si>
  <si>
    <t xml:space="preserve">R160 </t>
  </si>
  <si>
    <t xml:space="preserve">R198 </t>
  </si>
  <si>
    <t xml:space="preserve">R219 </t>
  </si>
  <si>
    <t xml:space="preserve">R329 </t>
  </si>
  <si>
    <t xml:space="preserve">R330 </t>
  </si>
  <si>
    <t xml:space="preserve">R345 </t>
  </si>
  <si>
    <t>R401</t>
  </si>
  <si>
    <t>R407</t>
  </si>
  <si>
    <t>R408</t>
  </si>
  <si>
    <t>R409</t>
  </si>
  <si>
    <t>R410</t>
  </si>
  <si>
    <t>R427</t>
  </si>
  <si>
    <t>68k</t>
  </si>
  <si>
    <t>CFM14JT68K0</t>
  </si>
  <si>
    <t>R110</t>
  </si>
  <si>
    <t>R165</t>
  </si>
  <si>
    <t>82k</t>
  </si>
  <si>
    <t>CFM14JT82K0</t>
  </si>
  <si>
    <t>R24</t>
  </si>
  <si>
    <t>R25</t>
  </si>
  <si>
    <t>R45</t>
  </si>
  <si>
    <t>R46</t>
  </si>
  <si>
    <t xml:space="preserve">R212 </t>
  </si>
  <si>
    <t xml:space="preserve">R220 </t>
  </si>
  <si>
    <t>R240</t>
  </si>
  <si>
    <t>100k</t>
  </si>
  <si>
    <t>CFM14JT100K</t>
  </si>
  <si>
    <t>R20</t>
  </si>
  <si>
    <t>R30</t>
  </si>
  <si>
    <t>R33</t>
  </si>
  <si>
    <t xml:space="preserve">R101 </t>
  </si>
  <si>
    <t xml:space="preserve">R106 </t>
  </si>
  <si>
    <t xml:space="preserve">R131 </t>
  </si>
  <si>
    <t xml:space="preserve">R136 </t>
  </si>
  <si>
    <t xml:space="preserve">R137 </t>
  </si>
  <si>
    <t xml:space="preserve">R152 </t>
  </si>
  <si>
    <t xml:space="preserve">R155 </t>
  </si>
  <si>
    <t xml:space="preserve">R164 </t>
  </si>
  <si>
    <t xml:space="preserve">R187 </t>
  </si>
  <si>
    <t xml:space="preserve">R188 </t>
  </si>
  <si>
    <t xml:space="preserve">R189 </t>
  </si>
  <si>
    <t xml:space="preserve">R192 </t>
  </si>
  <si>
    <t xml:space="preserve">R194 </t>
  </si>
  <si>
    <t xml:space="preserve">R195 </t>
  </si>
  <si>
    <t xml:space="preserve">R196 </t>
  </si>
  <si>
    <t xml:space="preserve">R209 </t>
  </si>
  <si>
    <t xml:space="preserve">R213 </t>
  </si>
  <si>
    <t xml:space="preserve">R214 </t>
  </si>
  <si>
    <t xml:space="preserve">R215 </t>
  </si>
  <si>
    <t>R236</t>
  </si>
  <si>
    <t xml:space="preserve">R313 </t>
  </si>
  <si>
    <t xml:space="preserve">R314 </t>
  </si>
  <si>
    <t xml:space="preserve">R315 </t>
  </si>
  <si>
    <t xml:space="preserve">R349 </t>
  </si>
  <si>
    <t xml:space="preserve">150k </t>
  </si>
  <si>
    <t>CFM14JT150K</t>
  </si>
  <si>
    <t>R9</t>
  </si>
  <si>
    <t>R10</t>
  </si>
  <si>
    <t xml:space="preserve">R227 </t>
  </si>
  <si>
    <t xml:space="preserve">R228 </t>
  </si>
  <si>
    <t xml:space="preserve">R229 </t>
  </si>
  <si>
    <t xml:space="preserve">R230 </t>
  </si>
  <si>
    <t xml:space="preserve">R231 </t>
  </si>
  <si>
    <t xml:space="preserve">R232 </t>
  </si>
  <si>
    <t>180k</t>
  </si>
  <si>
    <t>CFM14JT180K</t>
  </si>
  <si>
    <t>R243</t>
  </si>
  <si>
    <t>330k</t>
  </si>
  <si>
    <t>CFM14JT330K</t>
  </si>
  <si>
    <t xml:space="preserve">R135 </t>
  </si>
  <si>
    <t xml:space="preserve">R224 </t>
  </si>
  <si>
    <t>470k</t>
  </si>
  <si>
    <t>CFM14JT470K</t>
  </si>
  <si>
    <t>R4</t>
  </si>
  <si>
    <t>R5</t>
  </si>
  <si>
    <t>R31</t>
  </si>
  <si>
    <t xml:space="preserve">R143 </t>
  </si>
  <si>
    <t xml:space="preserve">R144 </t>
  </si>
  <si>
    <t xml:space="preserve">R225 </t>
  </si>
  <si>
    <t xml:space="preserve">R246 </t>
  </si>
  <si>
    <t>CFM14JT560K</t>
  </si>
  <si>
    <t>R61</t>
  </si>
  <si>
    <t>R244</t>
  </si>
  <si>
    <t>R245</t>
  </si>
  <si>
    <t>680k</t>
  </si>
  <si>
    <t>CFM14JT680K</t>
  </si>
  <si>
    <t>R59</t>
  </si>
  <si>
    <t>R119</t>
  </si>
  <si>
    <t>R148</t>
  </si>
  <si>
    <t xml:space="preserve">R226 </t>
  </si>
  <si>
    <t>R317</t>
  </si>
  <si>
    <t>R331</t>
  </si>
  <si>
    <t>820k</t>
  </si>
  <si>
    <t>CFM14JT820K</t>
  </si>
  <si>
    <t>R112</t>
  </si>
  <si>
    <t>1M</t>
  </si>
  <si>
    <t>CFM14JT1M00</t>
  </si>
  <si>
    <t>R7</t>
  </si>
  <si>
    <t>R8</t>
  </si>
  <si>
    <t>R34</t>
  </si>
  <si>
    <t xml:space="preserve">R116 </t>
  </si>
  <si>
    <t xml:space="preserve">R147 </t>
  </si>
  <si>
    <t xml:space="preserve">R150 </t>
  </si>
  <si>
    <t xml:space="preserve">R163 </t>
  </si>
  <si>
    <t xml:space="preserve">R167 </t>
  </si>
  <si>
    <t xml:space="preserve">R173 </t>
  </si>
  <si>
    <t xml:space="preserve">R180 </t>
  </si>
  <si>
    <t xml:space="preserve">R202 </t>
  </si>
  <si>
    <t xml:space="preserve">R324 </t>
  </si>
  <si>
    <t xml:space="preserve">R325 </t>
  </si>
  <si>
    <t xml:space="preserve">R335 </t>
  </si>
  <si>
    <t xml:space="preserve">R336 </t>
  </si>
  <si>
    <t xml:space="preserve">R338 </t>
  </si>
  <si>
    <t>Capacitors</t>
  </si>
  <si>
    <t>Electrolytic</t>
  </si>
  <si>
    <t>0.47u</t>
  </si>
  <si>
    <t>50V</t>
  </si>
  <si>
    <t>493-14490-ND</t>
  </si>
  <si>
    <t>C25</t>
  </si>
  <si>
    <t>C31</t>
  </si>
  <si>
    <t>C35</t>
  </si>
  <si>
    <t>C42</t>
  </si>
  <si>
    <t>C46</t>
  </si>
  <si>
    <t xml:space="preserve">C303 </t>
  </si>
  <si>
    <t xml:space="preserve">C318 </t>
  </si>
  <si>
    <t>1000u</t>
  </si>
  <si>
    <t xml:space="preserve">6.3V </t>
  </si>
  <si>
    <t>493-10566-1-N</t>
  </si>
  <si>
    <t>647-UKL0J471KPD</t>
  </si>
  <si>
    <t>C319</t>
  </si>
  <si>
    <t>100u</t>
  </si>
  <si>
    <t>16V</t>
  </si>
  <si>
    <t>493-15349-ND</t>
  </si>
  <si>
    <t>C104</t>
  </si>
  <si>
    <t xml:space="preserve">C325 </t>
  </si>
  <si>
    <t xml:space="preserve">C328 </t>
  </si>
  <si>
    <t>C403</t>
  </si>
  <si>
    <t>10u</t>
  </si>
  <si>
    <t>493-13395-ND</t>
  </si>
  <si>
    <t>C103</t>
  </si>
  <si>
    <t>C105</t>
  </si>
  <si>
    <t>C106</t>
  </si>
  <si>
    <t xml:space="preserve">C320 </t>
  </si>
  <si>
    <t>C402</t>
  </si>
  <si>
    <t>1u</t>
  </si>
  <si>
    <t>493-15407-ND</t>
  </si>
  <si>
    <t>C1</t>
  </si>
  <si>
    <t>C16</t>
  </si>
  <si>
    <t>C22</t>
  </si>
  <si>
    <t>C30</t>
  </si>
  <si>
    <t>C45</t>
  </si>
  <si>
    <t>C47</t>
  </si>
  <si>
    <t>C49</t>
  </si>
  <si>
    <t>C53</t>
  </si>
  <si>
    <t>C55</t>
  </si>
  <si>
    <t>C65</t>
  </si>
  <si>
    <t>C66</t>
  </si>
  <si>
    <t>C68</t>
  </si>
  <si>
    <t>C71</t>
  </si>
  <si>
    <t>C74</t>
  </si>
  <si>
    <t>C75</t>
  </si>
  <si>
    <t>C82</t>
  </si>
  <si>
    <t>C84</t>
  </si>
  <si>
    <t>C85</t>
  </si>
  <si>
    <t xml:space="preserve">C308 </t>
  </si>
  <si>
    <t xml:space="preserve">C309 </t>
  </si>
  <si>
    <t>C401</t>
  </si>
  <si>
    <t>2.2u</t>
  </si>
  <si>
    <t>493-15381-ND</t>
  </si>
  <si>
    <t>C48</t>
  </si>
  <si>
    <t>C56</t>
  </si>
  <si>
    <t>C61</t>
  </si>
  <si>
    <t>C83</t>
  </si>
  <si>
    <t>C87</t>
  </si>
  <si>
    <t>C89</t>
  </si>
  <si>
    <t>C101</t>
  </si>
  <si>
    <t xml:space="preserve">C327 </t>
  </si>
  <si>
    <t>47u</t>
  </si>
  <si>
    <t>493-16225-ND</t>
  </si>
  <si>
    <t>C15</t>
  </si>
  <si>
    <t>C17</t>
  </si>
  <si>
    <t>C18</t>
  </si>
  <si>
    <t>C28</t>
  </si>
  <si>
    <t>C29</t>
  </si>
  <si>
    <t>C54</t>
  </si>
  <si>
    <t>C72</t>
  </si>
  <si>
    <t>C80</t>
  </si>
  <si>
    <t>C81</t>
  </si>
  <si>
    <t>C93</t>
  </si>
  <si>
    <t>C100</t>
  </si>
  <si>
    <t xml:space="preserve">C302 </t>
  </si>
  <si>
    <t xml:space="preserve">C306 </t>
  </si>
  <si>
    <t xml:space="preserve">C324 </t>
  </si>
  <si>
    <t xml:space="preserve">C326 </t>
  </si>
  <si>
    <t>Ceramic</t>
  </si>
  <si>
    <t>22p</t>
  </si>
  <si>
    <t>445-15973-ND</t>
  </si>
  <si>
    <t>C36</t>
  </si>
  <si>
    <t>445-15974-ND</t>
  </si>
  <si>
    <t>C2</t>
  </si>
  <si>
    <t>C3</t>
  </si>
  <si>
    <t>C86</t>
  </si>
  <si>
    <t>C88</t>
  </si>
  <si>
    <t>1n</t>
  </si>
  <si>
    <t>C110</t>
  </si>
  <si>
    <t>C329</t>
  </si>
  <si>
    <t>C330</t>
  </si>
  <si>
    <t>Polyester</t>
  </si>
  <si>
    <t>493-3443-ND</t>
  </si>
  <si>
    <t>C63</t>
  </si>
  <si>
    <t>C69</t>
  </si>
  <si>
    <t>C70</t>
  </si>
  <si>
    <t>C73</t>
  </si>
  <si>
    <t>C96</t>
  </si>
  <si>
    <t>1.5n</t>
  </si>
  <si>
    <t>493-3445-ND</t>
  </si>
  <si>
    <t>C38</t>
  </si>
  <si>
    <t>1.8n</t>
  </si>
  <si>
    <t>493-3446-ND</t>
  </si>
  <si>
    <t>C52</t>
  </si>
  <si>
    <t>C58</t>
  </si>
  <si>
    <t>2.2n</t>
  </si>
  <si>
    <t>493-3447-ND</t>
  </si>
  <si>
    <t>C39</t>
  </si>
  <si>
    <t>C43</t>
  </si>
  <si>
    <t>C44</t>
  </si>
  <si>
    <t>C59</t>
  </si>
  <si>
    <t>C60</t>
  </si>
  <si>
    <t>C62</t>
  </si>
  <si>
    <t>C64</t>
  </si>
  <si>
    <t>C67</t>
  </si>
  <si>
    <t>C77</t>
  </si>
  <si>
    <t>C102</t>
  </si>
  <si>
    <t>3.3n</t>
  </si>
  <si>
    <t>493-3449-ND</t>
  </si>
  <si>
    <t>C34</t>
  </si>
  <si>
    <t>C78</t>
  </si>
  <si>
    <t>C92</t>
  </si>
  <si>
    <t>C94</t>
  </si>
  <si>
    <t>C95</t>
  </si>
  <si>
    <t>3.9n</t>
  </si>
  <si>
    <t>493-3384-ND</t>
  </si>
  <si>
    <t>C307</t>
  </si>
  <si>
    <t>4.7n</t>
  </si>
  <si>
    <t>493-3451-ND</t>
  </si>
  <si>
    <t>C301</t>
  </si>
  <si>
    <t>6.8n</t>
  </si>
  <si>
    <t>493-3453-ND</t>
  </si>
  <si>
    <t>C90</t>
  </si>
  <si>
    <t>C91</t>
  </si>
  <si>
    <t xml:space="preserve">C321 </t>
  </si>
  <si>
    <t>10n</t>
  </si>
  <si>
    <t>493-3455-ND</t>
  </si>
  <si>
    <t>C4</t>
  </si>
  <si>
    <t>C11</t>
  </si>
  <si>
    <t>C21</t>
  </si>
  <si>
    <t>C57</t>
  </si>
  <si>
    <t>C79</t>
  </si>
  <si>
    <t>C97</t>
  </si>
  <si>
    <t>C98</t>
  </si>
  <si>
    <t xml:space="preserve">C317 </t>
  </si>
  <si>
    <t xml:space="preserve">C323 </t>
  </si>
  <si>
    <t>12n</t>
  </si>
  <si>
    <t>493-3390-ND</t>
  </si>
  <si>
    <t>C108</t>
  </si>
  <si>
    <t>C109</t>
  </si>
  <si>
    <t>15n</t>
  </si>
  <si>
    <t>493-3457-ND</t>
  </si>
  <si>
    <t>C23</t>
  </si>
  <si>
    <t>C24</t>
  </si>
  <si>
    <t>C99</t>
  </si>
  <si>
    <t xml:space="preserve">C107 </t>
  </si>
  <si>
    <t>18n</t>
  </si>
  <si>
    <t>493-3458-ND</t>
  </si>
  <si>
    <t>C310</t>
  </si>
  <si>
    <t>C311</t>
  </si>
  <si>
    <t>C315</t>
  </si>
  <si>
    <t>27n</t>
  </si>
  <si>
    <t>493-3460-ND</t>
  </si>
  <si>
    <t>C32</t>
  </si>
  <si>
    <t>C33</t>
  </si>
  <si>
    <t xml:space="preserve">C304 </t>
  </si>
  <si>
    <t xml:space="preserve">C305 </t>
  </si>
  <si>
    <t>39n</t>
  </si>
  <si>
    <t>493-3462-ND</t>
  </si>
  <si>
    <t>C314</t>
  </si>
  <si>
    <t>47n</t>
  </si>
  <si>
    <t>493-3463-ND</t>
  </si>
  <si>
    <t xml:space="preserve"> </t>
  </si>
  <si>
    <t>C40</t>
  </si>
  <si>
    <t>C76</t>
  </si>
  <si>
    <t>C50</t>
  </si>
  <si>
    <t>C51</t>
  </si>
  <si>
    <t xml:space="preserve">C312 </t>
  </si>
  <si>
    <t xml:space="preserve">C316 </t>
  </si>
  <si>
    <t>56n</t>
  </si>
  <si>
    <t>493-3398-ND</t>
  </si>
  <si>
    <t>C19</t>
  </si>
  <si>
    <t>C20</t>
  </si>
  <si>
    <t>C37</t>
  </si>
  <si>
    <t>C41</t>
  </si>
  <si>
    <t>68n</t>
  </si>
  <si>
    <t>493-3399-ND</t>
  </si>
  <si>
    <t xml:space="preserve">C313 </t>
  </si>
  <si>
    <t xml:space="preserve">C322 </t>
  </si>
  <si>
    <t>SMD</t>
  </si>
  <si>
    <t>Diodes</t>
  </si>
  <si>
    <t>General Purpose</t>
  </si>
  <si>
    <t>1SS133</t>
  </si>
  <si>
    <t>(note: d404 silk backwards v1.2)</t>
  </si>
  <si>
    <t>D1</t>
  </si>
  <si>
    <t>D2</t>
  </si>
  <si>
    <t>D3</t>
  </si>
  <si>
    <t>D4</t>
  </si>
  <si>
    <t>D5</t>
  </si>
  <si>
    <t xml:space="preserve">D6 </t>
  </si>
  <si>
    <t xml:space="preserve">D7 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</si>
  <si>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</si>
  <si>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</si>
  <si>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</si>
  <si>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</si>
  <si>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</si>
  <si>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</si>
  <si>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</si>
  <si>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</si>
  <si>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</si>
  <si>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</si>
  <si>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</si>
  <si>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</si>
  <si>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</si>
  <si>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</si>
  <si>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</si>
  <si>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</si>
  <si>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</si>
  <si>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</si>
  <si>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</si>
  <si>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</si>
  <si>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</si>
  <si>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</si>
  <si>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</si>
  <si>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</si>
  <si>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</si>
  <si>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</si>
  <si>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</si>
  <si>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</si>
  <si>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</si>
  <si>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</si>
  <si>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</si>
  <si>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</si>
  <si>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D41</t>
  </si>
  <si>
    <t>D44</t>
  </si>
  <si>
    <t>D45</t>
  </si>
  <si>
    <t xml:space="preserve">D301 </t>
  </si>
  <si>
    <t xml:space="preserve">D302 </t>
  </si>
  <si>
    <t xml:space="preserve">D303 </t>
  </si>
  <si>
    <t xml:space="preserve">D304 </t>
  </si>
  <si>
    <t>D402</t>
  </si>
  <si>
    <t>D403</t>
  </si>
  <si>
    <t>D404</t>
  </si>
  <si>
    <t>D405</t>
  </si>
  <si>
    <t>D406</t>
  </si>
  <si>
    <t>D427</t>
  </si>
  <si>
    <t>D428</t>
  </si>
  <si>
    <t>??</t>
  </si>
  <si>
    <t>1S2473</t>
  </si>
  <si>
    <t>Germanium</t>
  </si>
  <si>
    <t>1S188FM</t>
  </si>
  <si>
    <t>1N60A, 1N270?</t>
  </si>
  <si>
    <t>Ebay</t>
  </si>
  <si>
    <t>#281764780751</t>
  </si>
  <si>
    <t>D43</t>
  </si>
  <si>
    <t>Zener</t>
  </si>
  <si>
    <t>RD15EB3</t>
  </si>
  <si>
    <t>TZX15C</t>
  </si>
  <si>
    <t>D42</t>
  </si>
  <si>
    <t>RD6.8EB2</t>
  </si>
  <si>
    <t>TZX6V8C</t>
  </si>
  <si>
    <t>D40</t>
  </si>
  <si>
    <t>Rectifier</t>
  </si>
  <si>
    <t>10E-2</t>
  </si>
  <si>
    <t>1N4004</t>
  </si>
  <si>
    <t>1N4004GOS-ND</t>
  </si>
  <si>
    <t>D407</t>
  </si>
  <si>
    <t>D408</t>
  </si>
  <si>
    <t>D409</t>
  </si>
  <si>
    <t>D410</t>
  </si>
  <si>
    <t>Leds</t>
  </si>
  <si>
    <t>GL-3AR-2</t>
  </si>
  <si>
    <t>HLMP-1700</t>
  </si>
  <si>
    <t>516-1308-ND</t>
  </si>
  <si>
    <t>D401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</si>
  <si>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</si>
  <si>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</si>
  <si>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</si>
  <si>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</si>
  <si>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</si>
  <si>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</si>
  <si>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</si>
  <si>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</si>
  <si>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</si>
  <si>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</si>
  <si>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</si>
  <si>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</si>
  <si>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</si>
  <si>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</si>
  <si>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</si>
  <si>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</si>
  <si>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D429</t>
  </si>
  <si>
    <t>D430</t>
  </si>
  <si>
    <t>IC</t>
  </si>
  <si>
    <t xml:space="preserve">AN6912 </t>
  </si>
  <si>
    <t>LM339</t>
  </si>
  <si>
    <t>296-1393-5-ND</t>
  </si>
  <si>
    <t>IC11</t>
  </si>
  <si>
    <t>HD14001BP</t>
  </si>
  <si>
    <t>CD4001BE</t>
  </si>
  <si>
    <t>296-2028-5-ND</t>
  </si>
  <si>
    <t>HD14013BP</t>
  </si>
  <si>
    <t>CD4013BE</t>
  </si>
  <si>
    <t>296-2033-5-ND</t>
  </si>
  <si>
    <t>HD14584B</t>
  </si>
  <si>
    <t>CD40106B or BU4584B</t>
  </si>
  <si>
    <t>IC1</t>
  </si>
  <si>
    <t>IC16</t>
  </si>
  <si>
    <t>uPC4558</t>
  </si>
  <si>
    <t>RC4558P</t>
  </si>
  <si>
    <t>296-1414-5-ND</t>
  </si>
  <si>
    <t>IC15</t>
  </si>
  <si>
    <t xml:space="preserve">IC10 </t>
  </si>
  <si>
    <t>JRC2904</t>
  </si>
  <si>
    <t>NJM2904D</t>
  </si>
  <si>
    <t>IC5</t>
  </si>
  <si>
    <t>IC9</t>
  </si>
  <si>
    <t xml:space="preserve">IC12 </t>
  </si>
  <si>
    <t xml:space="preserve">IC14 </t>
  </si>
  <si>
    <t>LA4140/AN7112/KA2212/TA7313</t>
  </si>
  <si>
    <t>IC13</t>
  </si>
  <si>
    <t>uPD650C-128</t>
  </si>
  <si>
    <t>PIXIE CPU</t>
  </si>
  <si>
    <t>DinSync</t>
  </si>
  <si>
    <t>IC4</t>
  </si>
  <si>
    <t>HD4011BP</t>
  </si>
  <si>
    <t>uPD444C</t>
  </si>
  <si>
    <t>IC7</t>
  </si>
  <si>
    <t>IC8</t>
  </si>
  <si>
    <t>Transistors</t>
  </si>
  <si>
    <t>2SA733P</t>
  </si>
  <si>
    <t>Tayda</t>
  </si>
  <si>
    <t>2SA733</t>
  </si>
  <si>
    <t>Q2</t>
  </si>
  <si>
    <t>Q3</t>
  </si>
  <si>
    <t>Q4</t>
  </si>
  <si>
    <t xml:space="preserve">Q9 </t>
  </si>
  <si>
    <t>Q12</t>
  </si>
  <si>
    <t>Q13</t>
  </si>
  <si>
    <t>Q15</t>
  </si>
  <si>
    <t>Q18</t>
  </si>
  <si>
    <t>Q22</t>
  </si>
  <si>
    <t>Q27</t>
  </si>
  <si>
    <t>Q29</t>
  </si>
  <si>
    <t>Q33</t>
  </si>
  <si>
    <t>Q34</t>
  </si>
  <si>
    <t xml:space="preserve">Q302 </t>
  </si>
  <si>
    <t xml:space="preserve">Q304 </t>
  </si>
  <si>
    <t xml:space="preserve">Q306 </t>
  </si>
  <si>
    <t>2SC945P</t>
  </si>
  <si>
    <t>2SC945</t>
  </si>
  <si>
    <t>Q1</t>
  </si>
  <si>
    <t>Q8</t>
  </si>
  <si>
    <t>Q11</t>
  </si>
  <si>
    <t>Q14</t>
  </si>
  <si>
    <t>Q16</t>
  </si>
  <si>
    <t>Q17</t>
  </si>
  <si>
    <t>Q19</t>
  </si>
  <si>
    <t>Q20</t>
  </si>
  <si>
    <t>Q21</t>
  </si>
  <si>
    <t>Q23</t>
  </si>
  <si>
    <t>Q24</t>
  </si>
  <si>
    <t>Q25</t>
  </si>
  <si>
    <t>Q26</t>
  </si>
  <si>
    <t>Q28</t>
  </si>
  <si>
    <t>Q30</t>
  </si>
  <si>
    <t>Q31</t>
  </si>
  <si>
    <t>Q32</t>
  </si>
  <si>
    <t>Q35</t>
  </si>
  <si>
    <t>Q36</t>
  </si>
  <si>
    <t>Q37</t>
  </si>
  <si>
    <t>Q38</t>
  </si>
  <si>
    <t>Q39</t>
  </si>
  <si>
    <t>Q40</t>
  </si>
  <si>
    <t>Q43</t>
  </si>
  <si>
    <t>Q45</t>
  </si>
  <si>
    <t>Q46</t>
  </si>
  <si>
    <t xml:space="preserve">Q301 </t>
  </si>
  <si>
    <t xml:space="preserve">Q303 </t>
  </si>
  <si>
    <t xml:space="preserve">Q305 </t>
  </si>
  <si>
    <t xml:space="preserve">Q307 </t>
  </si>
  <si>
    <t xml:space="preserve">Q308 </t>
  </si>
  <si>
    <t xml:space="preserve">Q309 </t>
  </si>
  <si>
    <t xml:space="preserve">Q310 </t>
  </si>
  <si>
    <t>2SA937Q/2SB642R/2SA1591Q</t>
  </si>
  <si>
    <t>Q407</t>
  </si>
  <si>
    <t>Q408</t>
  </si>
  <si>
    <t>Q409</t>
  </si>
  <si>
    <t>Q410</t>
  </si>
  <si>
    <t>Q411</t>
  </si>
  <si>
    <t>2SC2021R/2SD637R/2SC4038R</t>
  </si>
  <si>
    <t>Q401</t>
  </si>
  <si>
    <t>Q402</t>
  </si>
  <si>
    <t>Q403</t>
  </si>
  <si>
    <t>Q404</t>
  </si>
  <si>
    <t>Q405</t>
  </si>
  <si>
    <t>Q406</t>
  </si>
  <si>
    <t>Q412</t>
  </si>
  <si>
    <t>Q413</t>
  </si>
  <si>
    <t>Q414</t>
  </si>
  <si>
    <t>2SB596O</t>
  </si>
  <si>
    <t>TIP30C</t>
  </si>
  <si>
    <t>TIP30C-ND</t>
  </si>
  <si>
    <t>Q42</t>
  </si>
  <si>
    <t>2SB647C</t>
  </si>
  <si>
    <t>KSA916Y</t>
  </si>
  <si>
    <t>KSA916YTACT-ND</t>
  </si>
  <si>
    <t>Q41</t>
  </si>
  <si>
    <t>2SD667C</t>
  </si>
  <si>
    <t>KSD1616A</t>
  </si>
  <si>
    <t>KSD1616AYTACT-ND</t>
  </si>
  <si>
    <t>Q44</t>
  </si>
  <si>
    <t>Trimmers</t>
  </si>
  <si>
    <t>10K</t>
  </si>
  <si>
    <t>3306F-103-ND</t>
  </si>
  <si>
    <t>TM3</t>
  </si>
  <si>
    <t>3306F-104-ND</t>
  </si>
  <si>
    <t>TM1</t>
  </si>
  <si>
    <t>220k</t>
  </si>
  <si>
    <t>TM2</t>
  </si>
  <si>
    <t>Jacks</t>
  </si>
  <si>
    <t>HLJ0305-01-030</t>
  </si>
  <si>
    <t>Run/Stop</t>
  </si>
  <si>
    <t>Output</t>
  </si>
  <si>
    <t>SG8026</t>
  </si>
  <si>
    <t>Trigger Out</t>
  </si>
  <si>
    <t>HLJ0305-01-010</t>
  </si>
  <si>
    <t>Headphones</t>
  </si>
  <si>
    <t>HEC0470-01-230</t>
  </si>
  <si>
    <t>DC IN</t>
  </si>
  <si>
    <t>TCS0707-01-010</t>
  </si>
  <si>
    <t>SDS-50J</t>
  </si>
  <si>
    <t>CP-2350-ND</t>
  </si>
  <si>
    <t>Sync</t>
  </si>
  <si>
    <t>Switches</t>
  </si>
  <si>
    <t>SSFZ-22-07</t>
  </si>
  <si>
    <t>SW1</t>
  </si>
  <si>
    <t>SRM1018</t>
  </si>
  <si>
    <t>SW3</t>
  </si>
  <si>
    <t>SRM1034</t>
  </si>
  <si>
    <t>SW4</t>
  </si>
  <si>
    <t>KHC10901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</si>
  <si>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</si>
  <si>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</si>
  <si>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</si>
  <si>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</si>
  <si>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</si>
  <si>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</si>
  <si>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</si>
  <si>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</si>
  <si>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</si>
  <si>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</si>
  <si>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</si>
  <si>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</si>
  <si>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</si>
  <si>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</si>
  <si>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</si>
  <si>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</si>
  <si>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</si>
  <si>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SW22</t>
  </si>
  <si>
    <t>SW23</t>
  </si>
  <si>
    <t>SW24</t>
  </si>
  <si>
    <t>SW25</t>
  </si>
  <si>
    <t>SQPR24P-22PS</t>
  </si>
  <si>
    <t>PIC SS24H01</t>
  </si>
  <si>
    <t>SW2</t>
  </si>
  <si>
    <t>Potentiometers</t>
  </si>
  <si>
    <t>1MC</t>
  </si>
  <si>
    <t>VR1</t>
  </si>
  <si>
    <t>10KB</t>
  </si>
  <si>
    <t>VR2</t>
  </si>
  <si>
    <t xml:space="preserve">50KB </t>
  </si>
  <si>
    <t>VR3</t>
  </si>
  <si>
    <t>VR4</t>
  </si>
  <si>
    <t>VR5</t>
  </si>
  <si>
    <t>VR6</t>
  </si>
  <si>
    <t>VR7</t>
  </si>
  <si>
    <t>50KA Switch</t>
  </si>
  <si>
    <t>VR8</t>
  </si>
  <si>
    <t>Coil</t>
  </si>
  <si>
    <t>MC102C</t>
  </si>
  <si>
    <t>T2</t>
  </si>
  <si>
    <t>Other</t>
  </si>
  <si>
    <t>8 Wires Ribbon cable</t>
  </si>
  <si>
    <t>Led Standoffs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</si>
</sst>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\ &quot;€&quot;"/>
  </numFmts>
  <fonts count="23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u/>
      <sz val="11.0"/>
      <color theme="0"/>
      <name val="Calibri"/>
    </font>
    <font>
      <b/>
      <sz val="11.0"/>
      <color theme="0"/>
      <name val="Calibri"/>
    </font>
    <font>
      <u/>
      <sz val="11.0"/>
      <color theme="0"/>
      <name val="Calibri"/>
    </font>
    <font>
      <u/>
      <sz val="11.0"/>
      <color rgb="FFFF000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u/>
      <color rgb="FF0000FF"/>
      <name val="Arial"/>
    </font>
    <font>
      <u/>
      <sz val="11.0"/>
      <color theme="0"/>
      <name val="Calibri"/>
    </font>
    <font>
      <u/>
      <sz val="11.0"/>
      <color rgb="FFFF0000"/>
      <name val="Calibri"/>
    </font>
    <font>
      <u/>
      <color rgb="FF0000FF"/>
      <name val="Arial"/>
    </font>
    <font>
      <u/>
      <sz val="11.0"/>
      <color theme="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FF0000"/>
      <name val="Calibri"/>
    </font>
    <font>
      <sz val="11.0"/>
      <color rgb="FF000000"/>
    </font>
    <font>
      <u/>
      <sz val="11.0"/>
      <color theme="10"/>
      <name val="Calibri"/>
    </font>
    <font>
      <sz val="11.0"/>
      <color rgb="FF1F497D"/>
      <name val="Calibri"/>
    </font>
    <font>
      <u/>
      <sz val="11.0"/>
      <color rgb="FF1F497D"/>
      <name val="Calibri"/>
    </font>
    <font>
      <b/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B7B7B7"/>
        <bgColor rgb="FFB7B7B7"/>
      </patternFill>
    </fill>
    <fill>
      <patternFill patternType="solid">
        <fgColor rgb="FFB2A1C7"/>
        <bgColor rgb="FFB2A1C7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974806"/>
        <bgColor rgb="FF974806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rgb="FFC2D69B"/>
        <bgColor rgb="FFC2D69B"/>
      </patternFill>
    </fill>
  </fills>
  <borders count="5">
    <border/>
    <border>
      <left/>
      <right/>
      <top/>
      <bottom/>
    </border>
    <border>
      <right/>
      <top/>
      <bottom/>
    </border>
    <border>
      <right style="thin">
        <color rgb="FFD3D3D3"/>
      </right>
    </border>
    <border>
      <bottom style="thin">
        <color rgb="FFD3D3D3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2" fontId="3" numFmtId="0" xfId="0" applyBorder="1" applyFill="1" applyFont="1"/>
    <xf borderId="0" fillId="0" fontId="2" numFmtId="164" xfId="0" applyFont="1" applyNumberFormat="1"/>
    <xf borderId="1" fillId="2" fontId="4" numFmtId="0" xfId="0" applyBorder="1" applyFont="1"/>
    <xf borderId="1" fillId="3" fontId="5" numFmtId="0" xfId="0" applyAlignment="1" applyBorder="1" applyFill="1" applyFont="1">
      <alignment horizontal="left"/>
    </xf>
    <xf borderId="1" fillId="3" fontId="5" numFmtId="0" xfId="0" applyBorder="1" applyFont="1"/>
    <xf borderId="1" fillId="3" fontId="5" numFmtId="164" xfId="0" applyBorder="1" applyFont="1" applyNumberFormat="1"/>
    <xf borderId="1" fillId="4" fontId="2" numFmtId="0" xfId="0" applyBorder="1" applyFill="1" applyFont="1"/>
    <xf borderId="1" fillId="5" fontId="3" numFmtId="0" xfId="0" applyBorder="1" applyFill="1" applyFont="1"/>
    <xf borderId="1" fillId="5" fontId="6" numFmtId="0" xfId="0" applyBorder="1" applyFont="1"/>
    <xf borderId="1" fillId="5" fontId="3" numFmtId="164" xfId="0" applyBorder="1" applyFont="1" applyNumberFormat="1"/>
    <xf borderId="0" fillId="0" fontId="7" numFmtId="164" xfId="0" applyFont="1" applyNumberFormat="1"/>
    <xf borderId="1" fillId="6" fontId="2" numFmtId="0" xfId="0" applyBorder="1" applyFill="1" applyFont="1"/>
    <xf borderId="1" fillId="7" fontId="8" numFmtId="0" xfId="0" applyAlignment="1" applyBorder="1" applyFill="1" applyFont="1">
      <alignment vertical="bottom"/>
    </xf>
    <xf borderId="2" fillId="7" fontId="8" numFmtId="0" xfId="0" applyAlignment="1" applyBorder="1" applyFont="1">
      <alignment vertical="bottom"/>
    </xf>
    <xf borderId="0" fillId="7" fontId="8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8" fontId="2" numFmtId="0" xfId="0" applyBorder="1" applyFill="1" applyFont="1"/>
    <xf borderId="0" fillId="0" fontId="9" numFmtId="0" xfId="0" applyFont="1"/>
    <xf borderId="1" fillId="9" fontId="2" numFmtId="0" xfId="0" applyAlignment="1" applyBorder="1" applyFill="1" applyFont="1">
      <alignment horizontal="left"/>
    </xf>
    <xf borderId="1" fillId="9" fontId="2" numFmtId="0" xfId="0" applyBorder="1" applyFont="1"/>
    <xf borderId="1" fillId="9" fontId="3" numFmtId="0" xfId="0" applyBorder="1" applyFont="1"/>
    <xf borderId="1" fillId="9" fontId="11" numFmtId="0" xfId="0" applyBorder="1" applyFont="1"/>
    <xf borderId="1" fillId="9" fontId="3" numFmtId="164" xfId="0" applyBorder="1" applyFont="1" applyNumberFormat="1"/>
    <xf borderId="1" fillId="9" fontId="12" numFmtId="164" xfId="0" applyBorder="1" applyFont="1" applyNumberFormat="1"/>
    <xf borderId="1" fillId="9" fontId="2" numFmtId="164" xfId="0" applyBorder="1" applyFont="1" applyNumberFormat="1"/>
    <xf borderId="1" fillId="10" fontId="2" numFmtId="0" xfId="0" applyBorder="1" applyFill="1" applyFont="1"/>
    <xf borderId="1" fillId="9" fontId="2" numFmtId="0" xfId="0" applyAlignment="1" applyBorder="1" applyFont="1">
      <alignment horizontal="center"/>
    </xf>
    <xf borderId="3" fillId="0" fontId="2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1" fillId="11" fontId="2" numFmtId="0" xfId="0" applyBorder="1" applyFill="1" applyFont="1"/>
    <xf borderId="1" fillId="12" fontId="2" numFmtId="0" xfId="0" applyBorder="1" applyFill="1" applyFont="1"/>
    <xf borderId="1" fillId="13" fontId="2" numFmtId="0" xfId="0" applyBorder="1" applyFill="1" applyFont="1"/>
    <xf borderId="0" fillId="0" fontId="2" numFmtId="0" xfId="0" applyAlignment="1" applyFont="1">
      <alignment horizontal="left" vertical="center"/>
    </xf>
    <xf borderId="1" fillId="5" fontId="2" numFmtId="0" xfId="0" applyBorder="1" applyFont="1"/>
    <xf borderId="1" fillId="14" fontId="5" numFmtId="0" xfId="0" applyAlignment="1" applyBorder="1" applyFill="1" applyFont="1">
      <alignment horizontal="left"/>
    </xf>
    <xf borderId="1" fillId="14" fontId="5" numFmtId="0" xfId="0" applyBorder="1" applyFont="1"/>
    <xf borderId="1" fillId="14" fontId="5" numFmtId="164" xfId="0" applyBorder="1" applyFont="1" applyNumberFormat="1"/>
    <xf borderId="1" fillId="2" fontId="14" numFmtId="164" xfId="0" applyBorder="1" applyFont="1" applyNumberFormat="1"/>
    <xf borderId="0" fillId="0" fontId="9" numFmtId="0" xfId="0" applyAlignment="1" applyFont="1">
      <alignment horizontal="center" readingOrder="0"/>
    </xf>
    <xf borderId="0" fillId="0" fontId="15" numFmtId="0" xfId="0" applyFont="1"/>
    <xf borderId="0" fillId="0" fontId="16" numFmtId="164" xfId="0" applyFont="1" applyNumberFormat="1"/>
    <xf borderId="1" fillId="6" fontId="17" numFmtId="0" xfId="0" applyBorder="1" applyFont="1"/>
    <xf borderId="0" fillId="0" fontId="18" numFmtId="0" xfId="0" applyAlignment="1" applyFont="1">
      <alignment readingOrder="0"/>
    </xf>
    <xf borderId="1" fillId="4" fontId="19" numFmtId="0" xfId="0" applyBorder="1" applyFont="1"/>
    <xf borderId="1" fillId="4" fontId="2" numFmtId="164" xfId="0" applyBorder="1" applyFont="1" applyNumberFormat="1"/>
    <xf borderId="0" fillId="0" fontId="2" numFmtId="49" xfId="0" applyAlignment="1" applyFont="1" applyNumberFormat="1">
      <alignment horizontal="left"/>
    </xf>
    <xf borderId="1" fillId="2" fontId="3" numFmtId="164" xfId="0" applyBorder="1" applyFont="1" applyNumberFormat="1"/>
    <xf borderId="0" fillId="0" fontId="9" numFmtId="0" xfId="0" applyAlignment="1" applyFont="1">
      <alignment readingOrder="0"/>
    </xf>
    <xf borderId="1" fillId="3" fontId="3" numFmtId="0" xfId="0" applyBorder="1" applyFont="1"/>
    <xf borderId="1" fillId="3" fontId="3" numFmtId="164" xfId="0" applyBorder="1" applyFont="1" applyNumberFormat="1"/>
    <xf borderId="0" fillId="0" fontId="17" numFmtId="0" xfId="0" applyAlignment="1" applyFont="1">
      <alignment horizontal="left"/>
    </xf>
    <xf borderId="0" fillId="0" fontId="17" numFmtId="0" xfId="0" applyFont="1"/>
    <xf borderId="0" fillId="0" fontId="17" numFmtId="0" xfId="0" applyAlignment="1" applyFont="1">
      <alignment horizontal="center"/>
    </xf>
    <xf borderId="1" fillId="9" fontId="20" numFmtId="0" xfId="0" applyBorder="1" applyFont="1"/>
    <xf borderId="1" fillId="9" fontId="21" numFmtId="0" xfId="0" applyBorder="1" applyFont="1"/>
    <xf borderId="1" fillId="9" fontId="20" numFmtId="164" xfId="0" applyBorder="1" applyFont="1" applyNumberFormat="1"/>
    <xf borderId="1" fillId="3" fontId="22" numFmtId="0" xfId="0" applyAlignment="1" applyBorder="1" applyFont="1">
      <alignment horizontal="left"/>
    </xf>
    <xf borderId="1" fillId="15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t.mouser.com/ProductDetail/Nichicon/UKL0J471KPD/?qs=sGAEpiMZZMtZ1n0r9vR22cURos1IcPUppn97WV1Wd1Q%3d" TargetMode="External"/><Relationship Id="rId42" Type="http://schemas.openxmlformats.org/officeDocument/2006/relationships/hyperlink" Target="http://pt.mouser.com/ProductDetail/Nichicon/UKL1C101MPDANA/?qs=sGAEpiMZZMtZ1n0r9vR22Xou3HnuIKwrSOd2Frs0OHo%3d" TargetMode="External"/><Relationship Id="rId41" Type="http://schemas.openxmlformats.org/officeDocument/2006/relationships/hyperlink" Target="https://www.digikey.pt/product-detail/en/nichicon/UKL1C101MPDANA/493-15349-ND/2598380" TargetMode="External"/><Relationship Id="rId44" Type="http://schemas.openxmlformats.org/officeDocument/2006/relationships/hyperlink" Target="http://pt.mouser.com/ProductDetail/Nichicon/UKL1C101MPDANA/?qs=sGAEpiMZZMtZ1n0r9vR22Xou3HnuIKwrSOd2Frs0OHo%3d" TargetMode="External"/><Relationship Id="rId43" Type="http://schemas.openxmlformats.org/officeDocument/2006/relationships/hyperlink" Target="https://www.digikey.pt/product-detail/en/nichicon/UKL1C101MPDANA/493-15349-ND/2598380" TargetMode="External"/><Relationship Id="rId46" Type="http://schemas.openxmlformats.org/officeDocument/2006/relationships/hyperlink" Target="http://pt.mouser.com/ProductDetail/Nichicon/UKL1C100KDDANA/?qs=sGAEpiMZZMtZ1n0r9vR22bJsKyUmNJj1GMBtCGh554o%3d" TargetMode="External"/><Relationship Id="rId45" Type="http://schemas.openxmlformats.org/officeDocument/2006/relationships/hyperlink" Target="https://www.digikey.pt/product-detail/en/nichicon/UKL1C100KDDANA/493-13395-ND/2598377" TargetMode="External"/><Relationship Id="rId48" Type="http://schemas.openxmlformats.org/officeDocument/2006/relationships/hyperlink" Target="http://pt.mouser.com/ProductDetail/Nichicon/UKL2A010KDD/?qs=sGAEpiMZZMtZ1n0r9vR22Y5%2fi2Hwb5vYT4p6tCe8zgw%3d" TargetMode="External"/><Relationship Id="rId47" Type="http://schemas.openxmlformats.org/officeDocument/2006/relationships/hyperlink" Target="https://www.digikey.pt/product-detail/en/nichicon/UKL2A010KDD/493-15407-ND/2598552" TargetMode="External"/><Relationship Id="rId49" Type="http://schemas.openxmlformats.org/officeDocument/2006/relationships/hyperlink" Target="https://www.digikey.pt/product-detail/en/nichicon/UKL1H2R2KDDANA/493-15381-ND/2598465" TargetMode="External"/><Relationship Id="rId31" Type="http://schemas.openxmlformats.org/officeDocument/2006/relationships/hyperlink" Target="https://www.digikey.com/product-detail/en/stackpole-electronics-inc/CFM14JT330K/S330KQCT-ND/2617735" TargetMode="External"/><Relationship Id="rId30" Type="http://schemas.openxmlformats.org/officeDocument/2006/relationships/hyperlink" Target="https://www.digikey.com/product-detail/en/stackpole-electronics-inc/CFM14JT180K/S180KQCT-ND/2617681" TargetMode="External"/><Relationship Id="rId33" Type="http://schemas.openxmlformats.org/officeDocument/2006/relationships/hyperlink" Target="https://www.digikey.com/product-detail/en/stackpole-electronics-inc/CFM14JT560K/S560KQCT-ND/2617771" TargetMode="External"/><Relationship Id="rId32" Type="http://schemas.openxmlformats.org/officeDocument/2006/relationships/hyperlink" Target="https://www.digikey.com/product-detail/en/stackpole-electronics-inc/CFM14JT470K/S470KQCT-ND/2617759" TargetMode="External"/><Relationship Id="rId35" Type="http://schemas.openxmlformats.org/officeDocument/2006/relationships/hyperlink" Target="https://www.digikey.com/product-detail/en/stackpole-electronics-inc/CFM14JT820K/S820KQCT-ND/2617797" TargetMode="External"/><Relationship Id="rId34" Type="http://schemas.openxmlformats.org/officeDocument/2006/relationships/hyperlink" Target="https://www.digikey.com/product-detail/en/stackpole-electronics-inc/CFM14JT680K/S680KQCT-ND/2617783" TargetMode="External"/><Relationship Id="rId37" Type="http://schemas.openxmlformats.org/officeDocument/2006/relationships/hyperlink" Target="https://www.digikey.pt/product-detail/en/nichicon/UKL1HR47KDDANA/493-14490-ND/2598490" TargetMode="External"/><Relationship Id="rId36" Type="http://schemas.openxmlformats.org/officeDocument/2006/relationships/hyperlink" Target="https://www.digikey.com/product-detail/en/stackpole-electronics-inc/CFM14JT1M00/S1MQCT-ND/2617692" TargetMode="External"/><Relationship Id="rId39" Type="http://schemas.openxmlformats.org/officeDocument/2006/relationships/hyperlink" Target="https://www.digikey.pt/product-detail/en/nichicon/UKL0J102MPD1TD/493-10566-1-ND/4317587" TargetMode="External"/><Relationship Id="rId38" Type="http://schemas.openxmlformats.org/officeDocument/2006/relationships/hyperlink" Target="http://pt.mouser.com/ProductDetail/Nichicon/UKL1HR47KDDANA/?qs=sGAEpiMZZMtZ1n0r9vR22cK9fic32uhgNRPnz4qp8XE%3d" TargetMode="External"/><Relationship Id="rId20" Type="http://schemas.openxmlformats.org/officeDocument/2006/relationships/hyperlink" Target="https://www.digikey.com/product-detail/en/stackpole-electronics-inc/CFM14JT18K0/S18KQCT-ND/2617683" TargetMode="External"/><Relationship Id="rId22" Type="http://schemas.openxmlformats.org/officeDocument/2006/relationships/hyperlink" Target="https://www.digikey.com/product-detail/en/stackpole-electronics-inc/CFM14JT27K0/S27KQCT-ND/2617720" TargetMode="External"/><Relationship Id="rId21" Type="http://schemas.openxmlformats.org/officeDocument/2006/relationships/hyperlink" Target="https://www.digikey.com/product-detail/en/stackpole-electronics-inc/CFM14JT22K0/S22KQCT-ND/2617712" TargetMode="External"/><Relationship Id="rId24" Type="http://schemas.openxmlformats.org/officeDocument/2006/relationships/hyperlink" Target="https://www.digikey.com/product-detail/en/stackpole-electronics-inc/CFM14JT39K0/S39KQCT-ND/2617745" TargetMode="External"/><Relationship Id="rId23" Type="http://schemas.openxmlformats.org/officeDocument/2006/relationships/hyperlink" Target="https://www.digikey.com/product-detail/en/stackpole-electronics-inc/CFM14JT33K0/S33KQCT-ND/2617737" TargetMode="External"/><Relationship Id="rId26" Type="http://schemas.openxmlformats.org/officeDocument/2006/relationships/hyperlink" Target="https://www.digikey.com/product-detail/en/stackpole-electronics-inc/CFM14JT68K0/S68KQCT-ND/2617785" TargetMode="External"/><Relationship Id="rId25" Type="http://schemas.openxmlformats.org/officeDocument/2006/relationships/hyperlink" Target="https://www.digikey.com/product-detail/en/stackpole-electronics-inc/CFM14JT47K0/S47KQCT-ND/2617761" TargetMode="External"/><Relationship Id="rId28" Type="http://schemas.openxmlformats.org/officeDocument/2006/relationships/hyperlink" Target="https://www.digikey.com/product-detail/en/stackpole-electronics-inc/CFM14JT100K/S100KQCT-ND/2617657" TargetMode="External"/><Relationship Id="rId27" Type="http://schemas.openxmlformats.org/officeDocument/2006/relationships/hyperlink" Target="https://www.digikey.com/product-detail/en/stackpole-electronics-inc/CFM14JT82K0/S82KQCT-ND/2617799" TargetMode="External"/><Relationship Id="rId29" Type="http://schemas.openxmlformats.org/officeDocument/2006/relationships/hyperlink" Target="https://www.digikey.com/product-detail/en/stackpole-electronics-inc/CFM14JT150K/S150KQCT-ND/2617673" TargetMode="External"/><Relationship Id="rId95" Type="http://schemas.openxmlformats.org/officeDocument/2006/relationships/hyperlink" Target="http://pt.mouser.com/ProductDetail/ON-Semiconductor-Fairchild/KSD1616AYTA/?qs=sGAEpiMZZMshyDBzk1%2fWi8oN7VHZ91Ok7h8LvlAISgc%3d" TargetMode="External"/><Relationship Id="rId94" Type="http://schemas.openxmlformats.org/officeDocument/2006/relationships/hyperlink" Target="https://www.digikey.pt/product-detail/en/fairchild-on-semiconductor/KSD1616AYTA/KSD1616AYTACT-ND/4314805" TargetMode="External"/><Relationship Id="rId97" Type="http://schemas.openxmlformats.org/officeDocument/2006/relationships/hyperlink" Target="http://pt.mouser.com/ProductDetail/Bourns/3306F-1-104/?qs=sGAEpiMZZMvygUB3GLcD7sSg8po3Zpo34gW7fFpQx5g%3d" TargetMode="External"/><Relationship Id="rId96" Type="http://schemas.openxmlformats.org/officeDocument/2006/relationships/hyperlink" Target="http://pt.mouser.com/ProductDetail/Bourns/3306F-1-103/?qs=sGAEpiMZZMvygUB3GLcD7sSg8po3Zpo3YyLvpV%252bQO6Y%3d" TargetMode="External"/><Relationship Id="rId11" Type="http://schemas.openxmlformats.org/officeDocument/2006/relationships/hyperlink" Target="https://www.digikey.com/product-detail/en/stackpole-electronics-inc/CFM14JT1K00/S1KQCT-ND/2617685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www.digikey.com/product-detail/en/stackpole-electronics-inc/CFM14JT820R/S820QCT-ND/2617798" TargetMode="External"/><Relationship Id="rId98" Type="http://schemas.openxmlformats.org/officeDocument/2006/relationships/hyperlink" Target="http://pt.mouser.com/ProductDetail/ALPS/SKQEAAA010/?qs=%2fha2pyFaduh36xnQfbrBt8vYz%252bmkI2GHgu4YuakSftw%3d" TargetMode="External"/><Relationship Id="rId13" Type="http://schemas.openxmlformats.org/officeDocument/2006/relationships/hyperlink" Target="https://www.digikey.com/product-detail/en/stackpole-electronics-inc/CFM14JT2K20/S2.2KQCT-ND/2617723" TargetMode="External"/><Relationship Id="rId12" Type="http://schemas.openxmlformats.org/officeDocument/2006/relationships/hyperlink" Target="https://www.digikey.com/product-detail/en/stackpole-electronics-inc/CFM14JT1K50/S1.5KQCT-ND/2617689" TargetMode="External"/><Relationship Id="rId91" Type="http://schemas.openxmlformats.org/officeDocument/2006/relationships/hyperlink" Target="http://pt.mouser.com/ProductDetail/ON-Semiconductor-Fairchild/TIP30C/?qs=sGAEpiMZZMshyDBzk1%2fWi4G1GLBZKHK1ayuEVdj5v3U%3d" TargetMode="External"/><Relationship Id="rId90" Type="http://schemas.openxmlformats.org/officeDocument/2006/relationships/hyperlink" Target="https://www.digikey.pt/product-detail/en/fairchild-on-semiconductor/TIP30C/TIP30C-ND/1052081" TargetMode="External"/><Relationship Id="rId93" Type="http://schemas.openxmlformats.org/officeDocument/2006/relationships/hyperlink" Target="http://pt.mouser.com/ProductDetail/ON-Semiconductor/KSA916YTA/?qs=%2fha2pyFaduhtXAQaM7NCfxK6M5vli9vOYpQGhkhhEeY%3d" TargetMode="External"/><Relationship Id="rId92" Type="http://schemas.openxmlformats.org/officeDocument/2006/relationships/hyperlink" Target="https://www.digikey.pt/product-detail/en/fairchild-on-semiconductor/KSA916YTA/KSA916YTACT-ND/3908214" TargetMode="External"/><Relationship Id="rId15" Type="http://schemas.openxmlformats.org/officeDocument/2006/relationships/hyperlink" Target="https://www.digikey.com/product-detail/en/stackpole-electronics-inc/CFM14JT4K70/S4.7KQCT-ND/2617764" TargetMode="External"/><Relationship Id="rId14" Type="http://schemas.openxmlformats.org/officeDocument/2006/relationships/hyperlink" Target="https://www.digikey.com/product-detail/en/stackpole-electronics-inc/CFM14JT3K30/S3.3KQCT-ND/2617748" TargetMode="External"/><Relationship Id="rId17" Type="http://schemas.openxmlformats.org/officeDocument/2006/relationships/hyperlink" Target="https://www.digikey.com/product-detail/en/stackpole-electronics-inc/CFM14JT10K0/S10KQCT-ND/2617659" TargetMode="External"/><Relationship Id="rId16" Type="http://schemas.openxmlformats.org/officeDocument/2006/relationships/hyperlink" Target="https://www.digikey.com/product-detail/en/stackpole-electronics-inc/CFM14JT5K60/S5.6KQCT-ND/2617776" TargetMode="External"/><Relationship Id="rId19" Type="http://schemas.openxmlformats.org/officeDocument/2006/relationships/hyperlink" Target="https://www.digikey.com/product-detail/en/stackpole-electronics-inc/CFM14JT15K0/S15KQCT-ND/2617675" TargetMode="External"/><Relationship Id="rId18" Type="http://schemas.openxmlformats.org/officeDocument/2006/relationships/hyperlink" Target="https://www.digikey.com/product-detail/en/stackpole-electronics-inc/CFM14JT12K0/S12KQCT-ND/2617667" TargetMode="External"/><Relationship Id="rId84" Type="http://schemas.openxmlformats.org/officeDocument/2006/relationships/hyperlink" Target="http://pt.mouser.com/ProductDetail/ROHM-Semiconductor/BU4584B/?qs=%2fha2pyFadujiQqvhTSbxyr5HoGCje5H8px%2fVHY53qeA%3d" TargetMode="External"/><Relationship Id="rId83" Type="http://schemas.openxmlformats.org/officeDocument/2006/relationships/hyperlink" Target="http://pt.mouser.com/ProductDetail/Texas-Instruments/CD4013BE/?qs=sGAEpiMZZMvxP%252bvr8KwMwE%2fH01ykG3Igg0CFxBDqisc%3d" TargetMode="External"/><Relationship Id="rId86" Type="http://schemas.openxmlformats.org/officeDocument/2006/relationships/hyperlink" Target="http://pt.mouser.com/ProductDetail/Texas-Instruments/RC4558P/?qs=sGAEpiMZZMtCHixnSjNA6P3Ssczg4flJ2kiV%2fQZU5sA%3d" TargetMode="External"/><Relationship Id="rId85" Type="http://schemas.openxmlformats.org/officeDocument/2006/relationships/hyperlink" Target="https://www.digikey.pt/product-detail/en/texas-instruments/RC4558P/296-1414-5-ND/277060" TargetMode="External"/><Relationship Id="rId88" Type="http://schemas.openxmlformats.org/officeDocument/2006/relationships/hyperlink" Target="http://www.taydaelectronics.com/2sa733-transistor-pnp-50v-100ma-nec.html" TargetMode="External"/><Relationship Id="rId87" Type="http://schemas.openxmlformats.org/officeDocument/2006/relationships/hyperlink" Target="http://pt.mouser.com/ProductDetail/NJR/NJM2904D/?qs=sGAEpiMZZMtCHixnSjNA6PNeOmaxGblUVMHP5TM5Rw0%3d" TargetMode="External"/><Relationship Id="rId89" Type="http://schemas.openxmlformats.org/officeDocument/2006/relationships/hyperlink" Target="http://www.taydaelectronics.com/2sc945-c945-bipolar-transistors-npn-50v-0-15a.html" TargetMode="External"/><Relationship Id="rId80" Type="http://schemas.openxmlformats.org/officeDocument/2006/relationships/hyperlink" Target="https://www.digikey.pt/product-detail/en/texas-instruments/CD4001BE/296-2028-5-ND/57684" TargetMode="External"/><Relationship Id="rId82" Type="http://schemas.openxmlformats.org/officeDocument/2006/relationships/hyperlink" Target="https://www.digikey.pt/product-detail/en/texas-instruments/CD4013BE/296-2033-5-ND/67245" TargetMode="External"/><Relationship Id="rId81" Type="http://schemas.openxmlformats.org/officeDocument/2006/relationships/hyperlink" Target="http://pt.mouser.com/ProductDetail/Texas-Instruments/CD4001BE/?qs=sGAEpiMZZMv4BkFy%252bbL2aH7ONpwF%252b6ma9ycDelD%2f0O8%3d" TargetMode="External"/><Relationship Id="rId1" Type="http://schemas.openxmlformats.org/officeDocument/2006/relationships/hyperlink" Target="https://www.digikey.com/product-detail/en/stackpole-electronics-inc/CFM14JT10R0/S10QCT-ND/2617660" TargetMode="External"/><Relationship Id="rId2" Type="http://schemas.openxmlformats.org/officeDocument/2006/relationships/hyperlink" Target="https://www.digikey.com/product-detail/en/stackpole-electronics-inc/CFM14JT22R0/S22QCT-ND/2617713" TargetMode="External"/><Relationship Id="rId3" Type="http://schemas.openxmlformats.org/officeDocument/2006/relationships/hyperlink" Target="https://www.digikey.com/product-detail/en/stackpole-electronics-inc/CFM14JT33R0/S33QCT-ND/2617738" TargetMode="External"/><Relationship Id="rId4" Type="http://schemas.openxmlformats.org/officeDocument/2006/relationships/hyperlink" Target="https://www.digikey.com/product-detail/en/stackpole-electronics-inc/CFM14JT100R/S100QCT-ND/2617658" TargetMode="External"/><Relationship Id="rId9" Type="http://schemas.openxmlformats.org/officeDocument/2006/relationships/hyperlink" Target="https://www.digikey.com/product-detail/en/stackpole-electronics-inc/CFM14JT820R/S820QCT-ND/2617798" TargetMode="External"/><Relationship Id="rId5" Type="http://schemas.openxmlformats.org/officeDocument/2006/relationships/hyperlink" Target="https://www.digikey.com/product-detail/en/stackpole-electronics-inc/CFM14JT180R/S180QCT-ND/2617682" TargetMode="External"/><Relationship Id="rId6" Type="http://schemas.openxmlformats.org/officeDocument/2006/relationships/hyperlink" Target="https://www.digikey.com/product-detail/en/stackpole-electronics-inc/CFM14JT220R/S220QCT-ND/2617711" TargetMode="External"/><Relationship Id="rId7" Type="http://schemas.openxmlformats.org/officeDocument/2006/relationships/hyperlink" Target="https://www.digikey.com/product-detail/en/stackpole-electronics-inc/CFM14JT330R/S330QCT-ND/2617736" TargetMode="External"/><Relationship Id="rId8" Type="http://schemas.openxmlformats.org/officeDocument/2006/relationships/hyperlink" Target="https://www.digikey.com/product-detail/en/stackpole-electronics-inc/CFM14JT33R0/S33QCT-ND/2617738" TargetMode="External"/><Relationship Id="rId73" Type="http://schemas.openxmlformats.org/officeDocument/2006/relationships/hyperlink" Target="http://pt.mouser.com/ProductDetail/Vishay-Semiconductors/TZX15C-TR/?qs=sGAEpiMZZMtQ8nqTKtFS%2fC7KvLOwmmQCAl27ID0bRuo%3d" TargetMode="External"/><Relationship Id="rId72" Type="http://schemas.openxmlformats.org/officeDocument/2006/relationships/hyperlink" Target="http://www.ebay.co.uk/itm/281764780751" TargetMode="External"/><Relationship Id="rId75" Type="http://schemas.openxmlformats.org/officeDocument/2006/relationships/hyperlink" Target="https://www.digikey.pt/product-detail/en/on-semiconductor/1N4004G/1N4004GOS-ND/1485474" TargetMode="External"/><Relationship Id="rId74" Type="http://schemas.openxmlformats.org/officeDocument/2006/relationships/hyperlink" Target="http://pt.mouser.com/ProductDetail/Vishay-Semiconductors/TZX6V8C-TR/?qs=sGAEpiMZZMtQ8nqTKtFS%2fC7KvLOwmmQCLDj7KsoplFw%3d" TargetMode="External"/><Relationship Id="rId77" Type="http://schemas.openxmlformats.org/officeDocument/2006/relationships/hyperlink" Target="https://www.digikey.pt/product-detail/en/broadcom-limited/HLMP-1700/516-1308-ND/637572" TargetMode="External"/><Relationship Id="rId76" Type="http://schemas.openxmlformats.org/officeDocument/2006/relationships/hyperlink" Target="http://pt.mouser.com/ProductDetail/ON-Semiconductor/1N4004G/?qs=sGAEpiMZZMtqO%252bWUGLBzeFB6KNnZTsfj" TargetMode="External"/><Relationship Id="rId79" Type="http://schemas.openxmlformats.org/officeDocument/2006/relationships/hyperlink" Target="http://pt.mouser.com/ProductDetail/Texas-Instruments/LM339N/?qs=sGAEpiMZZMtYFXwiBRPs0%252bm1HQp6xrWl" TargetMode="External"/><Relationship Id="rId78" Type="http://schemas.openxmlformats.org/officeDocument/2006/relationships/hyperlink" Target="https://www.digikey.pt/product-detail/en/texas-instruments/LM339N/296-1393-5-ND/277628" TargetMode="External"/><Relationship Id="rId71" Type="http://schemas.openxmlformats.org/officeDocument/2006/relationships/hyperlink" Target="http://pt.mouser.com/ProductDetail/Taiwan-Semiconductor/1SS133M/?qs=sGAEpiMZZMtoHjESLttvkr%2fzPVuiYRB60P6S%252bMyz2ZY%3d" TargetMode="External"/><Relationship Id="rId70" Type="http://schemas.openxmlformats.org/officeDocument/2006/relationships/hyperlink" Target="http://pt.mouser.com/ProductDetail/Nichicon/QYX1H683KTP/?qs=sGAEpiMZZMv1cc3ydrPrF7IQEraYnC%2f80jffk5PF3ko%3d" TargetMode="External"/><Relationship Id="rId62" Type="http://schemas.openxmlformats.org/officeDocument/2006/relationships/hyperlink" Target="http://pt.mouser.com/ProductDetail/Nichicon/QYX1H682JTP/?qs=sGAEpiMZZMv1cc3ydrPrF652zNprbYwME87mGvFbO6Q%3d" TargetMode="External"/><Relationship Id="rId61" Type="http://schemas.openxmlformats.org/officeDocument/2006/relationships/hyperlink" Target="http://pt.mouser.com/ProductDetail/Nichicon/QYX1H472JTP/?qs=sGAEpiMZZMv1cc3ydrPrF652zNprbYwMAmeailSsI8I%3d" TargetMode="External"/><Relationship Id="rId64" Type="http://schemas.openxmlformats.org/officeDocument/2006/relationships/hyperlink" Target="http://pt.mouser.com/ProductDetail/Nichicon/QYX1H103JTP/?qs=sGAEpiMZZMv1cc3ydrPrF5a3zO%2f5DaXEa56FHmXUzaI%3d" TargetMode="External"/><Relationship Id="rId63" Type="http://schemas.openxmlformats.org/officeDocument/2006/relationships/hyperlink" Target="https://www.digikey.pt/product-detail/en/nichicon/QYX1H103JTP/493-3455-ND/2117744" TargetMode="External"/><Relationship Id="rId66" Type="http://schemas.openxmlformats.org/officeDocument/2006/relationships/hyperlink" Target="http://pt.mouser.com/ProductDetail/Nichicon/QYX1H153JTP/?qs=sGAEpiMZZMv1cc3ydrPrF652zNprbYwMljH3uESXFhg%3d" TargetMode="External"/><Relationship Id="rId65" Type="http://schemas.openxmlformats.org/officeDocument/2006/relationships/hyperlink" Target="http://pt.mouser.com/ProductDetail/Nichicon/QYX1H123KTP/?qs=sGAEpiMZZMv1cc3ydrPrFyoVFLFcIkf0GfaI2S0Txjo%3d" TargetMode="External"/><Relationship Id="rId68" Type="http://schemas.openxmlformats.org/officeDocument/2006/relationships/hyperlink" Target="http://pt.mouser.com/ProductDetail/Nichicon/QYX1H563KTP/?qs=sGAEpiMZZMv1cc3ydrPrFyoVFLFcIkf0J0itUkmrnZ0%3d" TargetMode="External"/><Relationship Id="rId67" Type="http://schemas.openxmlformats.org/officeDocument/2006/relationships/hyperlink" Target="http://pt.mouser.com/ProductDetail/Nichicon/QYX1H473JTP/?qs=sGAEpiMZZMv1cc3ydrPrF5a3zO%2f5DaXErRAAWmvyuTQ%3d" TargetMode="External"/><Relationship Id="rId60" Type="http://schemas.openxmlformats.org/officeDocument/2006/relationships/hyperlink" Target="http://pt.mouser.com/ProductDetail/Nichicon/QYX1H392KTP/?qs=sGAEpiMZZMv1cc3ydrPrFyoVFLFcIkf0WmP1S9PFiPs%3d" TargetMode="External"/><Relationship Id="rId69" Type="http://schemas.openxmlformats.org/officeDocument/2006/relationships/hyperlink" Target="https://www.digikey.pt/product-detail/en/nichicon/QYX1H683KTP/493-3399-ND/2117688" TargetMode="External"/><Relationship Id="rId51" Type="http://schemas.openxmlformats.org/officeDocument/2006/relationships/hyperlink" Target="https://www.digikey.pt/product-detail/en/nichicon/UKL1C470KEDANA/493-16225-ND/819580" TargetMode="External"/><Relationship Id="rId50" Type="http://schemas.openxmlformats.org/officeDocument/2006/relationships/hyperlink" Target="http://pt.mouser.com/ProductDetail/Nichicon/UKL1H2R2KDDANA/?qs=sGAEpiMZZMtZ1n0r9vR22RPm77sS3Lwx61edjuTmVhw%3d" TargetMode="External"/><Relationship Id="rId53" Type="http://schemas.openxmlformats.org/officeDocument/2006/relationships/hyperlink" Target="http://pt.mouser.com/ProductDetail/TDK/CC45SL3AD220JYNNA/?qs=sGAEpiMZZMt1mVBmZSXTPHoP5x0NnsZArEbjoNu6SOY%3d" TargetMode="External"/><Relationship Id="rId52" Type="http://schemas.openxmlformats.org/officeDocument/2006/relationships/hyperlink" Target="http://pt.mouser.com/ProductDetail/Nichicon/UKL1C470KEDANA/?qs=sGAEpiMZZMtZ1n0r9vR22Xou3HnuIKwrGjGZuC4vmYs%3d" TargetMode="External"/><Relationship Id="rId55" Type="http://schemas.openxmlformats.org/officeDocument/2006/relationships/hyperlink" Target="https://www.digikey.pt/product-detail/en/nichicon/QYX1H102JTP/493-3443-ND/2117732" TargetMode="External"/><Relationship Id="rId54" Type="http://schemas.openxmlformats.org/officeDocument/2006/relationships/hyperlink" Target="http://pt.mouser.com/ProductDetail/TDK/CC45SL3AD221JYNNA/?qs=sGAEpiMZZMt1mVBmZSXTPHoP5x0NnsZAH%252bKqTSBQw28%3d" TargetMode="External"/><Relationship Id="rId57" Type="http://schemas.openxmlformats.org/officeDocument/2006/relationships/hyperlink" Target="http://pt.mouser.com/ProductDetail/Nichicon/QYX1H152JTP/?qs=sGAEpiMZZMv1cc3ydrPrF652zNprbYwMerHDrrYWYCQ%3d" TargetMode="External"/><Relationship Id="rId56" Type="http://schemas.openxmlformats.org/officeDocument/2006/relationships/hyperlink" Target="http://pt.mouser.com/ProductDetail/Nichicon/QYX1H102JTP/?qs=sGAEpiMZZMv1cc3ydrPrF652zNprbYwMtRXqWk2NXh8%3d" TargetMode="External"/><Relationship Id="rId59" Type="http://schemas.openxmlformats.org/officeDocument/2006/relationships/hyperlink" Target="http://pt.mouser.com/ProductDetail/Nichicon/QYX1H332JTP/?qs=sGAEpiMZZMv1cc3ydrPrF652zNprbYwM%252bgf4%2fHgMWsc%3d" TargetMode="External"/><Relationship Id="rId58" Type="http://schemas.openxmlformats.org/officeDocument/2006/relationships/hyperlink" Target="http://pt.mouser.com/ProductDetail/Nichicon/QYX1H222JTP/?qs=sGAEpiMZZMv1cc3ydrPrF5a3zO%2f5DaXE94jpM%252bOHFfA%3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.xml"/><Relationship Id="rId31" Type="http://schemas.openxmlformats.org/officeDocument/2006/relationships/hyperlink" Target="http://pt.mouser.com/ProductDetail/ROHM-Semiconductor/BU4584B/?qs=%2fha2pyFadujiQqvhTSbxyr5HoGCje5H8px%2fVHY53qeA%3d" TargetMode="External"/><Relationship Id="rId30" Type="http://schemas.openxmlformats.org/officeDocument/2006/relationships/hyperlink" Target="http://pt.mouser.com/ProductDetail/Texas-Instruments/CD4013BE/?qs=sGAEpiMZZMvxP%252bvr8KwMwE%2fH01ykG3Igg0CFxBDqisc%3d" TargetMode="External"/><Relationship Id="rId33" Type="http://schemas.openxmlformats.org/officeDocument/2006/relationships/hyperlink" Target="http://pt.mouser.com/ProductDetail/NJR/NJM2904D/?qs=sGAEpiMZZMtCHixnSjNA6PNeOmaxGblUVMHP5TM5Rw0%3d" TargetMode="External"/><Relationship Id="rId32" Type="http://schemas.openxmlformats.org/officeDocument/2006/relationships/hyperlink" Target="http://pt.mouser.com/ProductDetail/Texas-Instruments/RC4558P/?qs=sGAEpiMZZMtCHixnSjNA6P3Ssczg4flJ2kiV%2fQZU5sA%3d" TargetMode="External"/><Relationship Id="rId35" Type="http://schemas.openxmlformats.org/officeDocument/2006/relationships/hyperlink" Target="http://pt.mouser.com/ProductDetail/ON-Semiconductor/KSA916YTA/?qs=%2fha2pyFaduhtXAQaM7NCfxK6M5vli9vOYpQGhkhhEeY%3d" TargetMode="External"/><Relationship Id="rId34" Type="http://schemas.openxmlformats.org/officeDocument/2006/relationships/hyperlink" Target="http://pt.mouser.com/ProductDetail/ON-Semiconductor-Fairchild/TIP30C/?qs=sGAEpiMZZMshyDBzk1%2fWi4G1GLBZKHK1ayuEVdj5v3U%3d" TargetMode="External"/><Relationship Id="rId37" Type="http://schemas.openxmlformats.org/officeDocument/2006/relationships/hyperlink" Target="http://pt.mouser.com/ProductDetail/Bourns/3306F-1-103/?qs=sGAEpiMZZMvygUB3GLcD7sSg8po3Zpo3YyLvpV%252bQO6Y%3d" TargetMode="External"/><Relationship Id="rId36" Type="http://schemas.openxmlformats.org/officeDocument/2006/relationships/hyperlink" Target="http://pt.mouser.com/ProductDetail/ON-Semiconductor-Fairchild/KSD1616AYTA/?qs=sGAEpiMZZMshyDBzk1%2fWi8oN7VHZ91Ok7h8LvlAISgc%3d" TargetMode="External"/><Relationship Id="rId39" Type="http://schemas.openxmlformats.org/officeDocument/2006/relationships/hyperlink" Target="http://pt.mouser.com/ProductDetail/ALPS/SKQEAAA010/?qs=%2fha2pyFaduh36xnQfbrBt8vYz%252bmkI2GHgu4YuakSftw%3d" TargetMode="External"/><Relationship Id="rId38" Type="http://schemas.openxmlformats.org/officeDocument/2006/relationships/hyperlink" Target="http://pt.mouser.com/ProductDetail/Bourns/3306F-1-104/?qs=sGAEpiMZZMvygUB3GLcD7sSg8po3Zpo34gW7fFpQx5g%3d" TargetMode="External"/><Relationship Id="rId20" Type="http://schemas.openxmlformats.org/officeDocument/2006/relationships/hyperlink" Target="http://pt.mouser.com/ProductDetail/Nichicon/QYX1H153JTP/?qs=sGAEpiMZZMv1cc3ydrPrF652zNprbYwMljH3uESXFhg%3d" TargetMode="External"/><Relationship Id="rId22" Type="http://schemas.openxmlformats.org/officeDocument/2006/relationships/hyperlink" Target="http://pt.mouser.com/ProductDetail/Nichicon/QYX1H563KTP/?qs=sGAEpiMZZMv1cc3ydrPrFyoVFLFcIkf0J0itUkmrnZ0%3d" TargetMode="External"/><Relationship Id="rId21" Type="http://schemas.openxmlformats.org/officeDocument/2006/relationships/hyperlink" Target="http://pt.mouser.com/ProductDetail/Nichicon/QYX1H473JTP/?qs=sGAEpiMZZMv1cc3ydrPrF5a3zO%2f5DaXErRAAWmvyuTQ%3d" TargetMode="External"/><Relationship Id="rId24" Type="http://schemas.openxmlformats.org/officeDocument/2006/relationships/hyperlink" Target="http://pt.mouser.com/ProductDetail/Taiwan-Semiconductor/1SS133M/?qs=sGAEpiMZZMtoHjESLttvkr%2fzPVuiYRB60P6S%252bMyz2ZY%3d" TargetMode="External"/><Relationship Id="rId23" Type="http://schemas.openxmlformats.org/officeDocument/2006/relationships/hyperlink" Target="http://pt.mouser.com/ProductDetail/Nichicon/QYX1H683KTP/?qs=sGAEpiMZZMv1cc3ydrPrF7IQEraYnC%2f80jffk5PF3ko%3d" TargetMode="External"/><Relationship Id="rId26" Type="http://schemas.openxmlformats.org/officeDocument/2006/relationships/hyperlink" Target="http://pt.mouser.com/ProductDetail/Vishay-Semiconductors/TZX6V8C-TR/?qs=sGAEpiMZZMtQ8nqTKtFS%2fC7KvLOwmmQCLDj7KsoplFw%3d" TargetMode="External"/><Relationship Id="rId25" Type="http://schemas.openxmlformats.org/officeDocument/2006/relationships/hyperlink" Target="http://pt.mouser.com/ProductDetail/Vishay-Semiconductors/TZX15C-TR/?qs=sGAEpiMZZMtQ8nqTKtFS%2fC7KvLOwmmQCAl27ID0bRuo%3d" TargetMode="External"/><Relationship Id="rId28" Type="http://schemas.openxmlformats.org/officeDocument/2006/relationships/hyperlink" Target="http://pt.mouser.com/ProductDetail/Texas-Instruments/LM339N/?qs=sGAEpiMZZMtYFXwiBRPs0%252bm1HQp6xrWl" TargetMode="External"/><Relationship Id="rId27" Type="http://schemas.openxmlformats.org/officeDocument/2006/relationships/hyperlink" Target="http://pt.mouser.com/ProductDetail/ON-Semiconductor/1N4004G/?qs=sGAEpiMZZMtqO%252bWUGLBzeFB6KNnZTsfj" TargetMode="External"/><Relationship Id="rId29" Type="http://schemas.openxmlformats.org/officeDocument/2006/relationships/hyperlink" Target="http://pt.mouser.com/ProductDetail/Texas-Instruments/CD4001BE/?qs=sGAEpiMZZMv4BkFy%252bbL2aH7ONpwF%252b6ma9ycDelD%2f0O8%3d" TargetMode="External"/><Relationship Id="rId11" Type="http://schemas.openxmlformats.org/officeDocument/2006/relationships/hyperlink" Target="http://pt.mouser.com/ProductDetail/Nichicon/QYX1H102JTP/?qs=sGAEpiMZZMv1cc3ydrPrF652zNprbYwMtRXqWk2NXh8%3d" TargetMode="External"/><Relationship Id="rId10" Type="http://schemas.openxmlformats.org/officeDocument/2006/relationships/hyperlink" Target="http://pt.mouser.com/ProductDetail/TDK/CC45SL3AD221JYNNA/?qs=sGAEpiMZZMt1mVBmZSXTPHoP5x0NnsZAH%252bKqTSBQw28%3d" TargetMode="External"/><Relationship Id="rId13" Type="http://schemas.openxmlformats.org/officeDocument/2006/relationships/hyperlink" Target="http://pt.mouser.com/ProductDetail/Nichicon/QYX1H222JTP/?qs=sGAEpiMZZMv1cc3ydrPrF5a3zO%2f5DaXE94jpM%252bOHFfA%3d" TargetMode="External"/><Relationship Id="rId12" Type="http://schemas.openxmlformats.org/officeDocument/2006/relationships/hyperlink" Target="http://pt.mouser.com/ProductDetail/Nichicon/QYX1H152JTP/?qs=sGAEpiMZZMv1cc3ydrPrF652zNprbYwMerHDrrYWYCQ%3d" TargetMode="External"/><Relationship Id="rId15" Type="http://schemas.openxmlformats.org/officeDocument/2006/relationships/hyperlink" Target="http://pt.mouser.com/ProductDetail/Nichicon/QYX1H392KTP/?qs=sGAEpiMZZMv1cc3ydrPrFyoVFLFcIkf0WmP1S9PFiPs%3d" TargetMode="External"/><Relationship Id="rId14" Type="http://schemas.openxmlformats.org/officeDocument/2006/relationships/hyperlink" Target="http://pt.mouser.com/ProductDetail/Nichicon/QYX1H332JTP/?qs=sGAEpiMZZMv1cc3ydrPrF652zNprbYwM%252bgf4%2fHgMWsc%3d" TargetMode="External"/><Relationship Id="rId17" Type="http://schemas.openxmlformats.org/officeDocument/2006/relationships/hyperlink" Target="http://pt.mouser.com/ProductDetail/Nichicon/QYX1H682JTP/?qs=sGAEpiMZZMv1cc3ydrPrF652zNprbYwME87mGvFbO6Q%3d" TargetMode="External"/><Relationship Id="rId16" Type="http://schemas.openxmlformats.org/officeDocument/2006/relationships/hyperlink" Target="http://pt.mouser.com/ProductDetail/Nichicon/QYX1H472JTP/?qs=sGAEpiMZZMv1cc3ydrPrF652zNprbYwMAmeailSsI8I%3d" TargetMode="External"/><Relationship Id="rId19" Type="http://schemas.openxmlformats.org/officeDocument/2006/relationships/hyperlink" Target="http://pt.mouser.com/ProductDetail/Nichicon/QYX1H123KTP/?qs=sGAEpiMZZMv1cc3ydrPrFyoVFLFcIkf0GfaI2S0Txjo%3d" TargetMode="External"/><Relationship Id="rId18" Type="http://schemas.openxmlformats.org/officeDocument/2006/relationships/hyperlink" Target="http://pt.mouser.com/ProductDetail/Nichicon/QYX1H103JTP/?qs=sGAEpiMZZMv1cc3ydrPrF5a3zO%2f5DaXEa56FHmXUzaI%3d" TargetMode="External"/><Relationship Id="rId1" Type="http://schemas.openxmlformats.org/officeDocument/2006/relationships/hyperlink" Target="http://pt.mouser.com/ProductDetail/Nichicon/UKL1HR47KDDANA/?qs=sGAEpiMZZMtZ1n0r9vR22cK9fic32uhgNRPnz4qp8XE%3d" TargetMode="External"/><Relationship Id="rId2" Type="http://schemas.openxmlformats.org/officeDocument/2006/relationships/hyperlink" Target="http://pt.mouser.com/ProductDetail/Nichicon/UKL0J102MPD1TD/?qs=sGAEpiMZZMtZ1n0r9vR22cURos1IcPUpFBYUohJnOPI%3d" TargetMode="External"/><Relationship Id="rId3" Type="http://schemas.openxmlformats.org/officeDocument/2006/relationships/hyperlink" Target="http://pt.mouser.com/ProductDetail/Nichicon/UKL1C101MPDANA/?qs=sGAEpiMZZMtZ1n0r9vR22Xou3HnuIKwrSOd2Frs0OHo%3d" TargetMode="External"/><Relationship Id="rId4" Type="http://schemas.openxmlformats.org/officeDocument/2006/relationships/hyperlink" Target="http://pt.mouser.com/ProductDetail/Nichicon/UKL1C101MPDANA/?qs=sGAEpiMZZMtZ1n0r9vR22Xou3HnuIKwrSOd2Frs0OHo%3d" TargetMode="External"/><Relationship Id="rId9" Type="http://schemas.openxmlformats.org/officeDocument/2006/relationships/hyperlink" Target="http://pt.mouser.com/ProductDetail/TDK/CC45SL3AD220JYNNA/?qs=sGAEpiMZZMt1mVBmZSXTPHoP5x0NnsZArEbjoNu6SOY%3d" TargetMode="External"/><Relationship Id="rId5" Type="http://schemas.openxmlformats.org/officeDocument/2006/relationships/hyperlink" Target="http://pt.mouser.com/ProductDetail/Nichicon/UKL1C100KDDANA/?qs=sGAEpiMZZMtZ1n0r9vR22bJsKyUmNJj1GMBtCGh554o%3d" TargetMode="External"/><Relationship Id="rId6" Type="http://schemas.openxmlformats.org/officeDocument/2006/relationships/hyperlink" Target="http://pt.mouser.com/ProductDetail/Nichicon/UKL2A010KDD/?qs=sGAEpiMZZMtZ1n0r9vR22Y5%2fi2Hwb5vYT4p6tCe8zgw%3d" TargetMode="External"/><Relationship Id="rId7" Type="http://schemas.openxmlformats.org/officeDocument/2006/relationships/hyperlink" Target="http://pt.mouser.com/ProductDetail/Nichicon/UKL1H2R2KDDANA/?qs=sGAEpiMZZMtZ1n0r9vR22RPm77sS3Lwx61edjuTmVhw%3d" TargetMode="External"/><Relationship Id="rId8" Type="http://schemas.openxmlformats.org/officeDocument/2006/relationships/hyperlink" Target="http://pt.mouser.com/ProductDetail/Nichicon/UKL1C470KEDANA/?qs=sGAEpiMZZMtZ1n0r9vR22Xou3HnuIKwrGjGZuC4vmYs%3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product-detail/en/nichicon/QYX2A183JTP/493-3491-ND/2117780" TargetMode="External"/><Relationship Id="rId10" Type="http://schemas.openxmlformats.org/officeDocument/2006/relationships/hyperlink" Target="https://www.mouser.com/ProductDetail/Nichicon/QYX2A153KTP?qs=sGAEpiMZZMv1cc3ydrPrF2CPLAojp4yWXOzGSyMFgbE%3D" TargetMode="External"/><Relationship Id="rId13" Type="http://schemas.openxmlformats.org/officeDocument/2006/relationships/hyperlink" Target="https://www.digikey.com/product-detail/en/nichicon/QYX2A393JTP/493-3495-ND/2117784" TargetMode="External"/><Relationship Id="rId12" Type="http://schemas.openxmlformats.org/officeDocument/2006/relationships/hyperlink" Target="https://www.digikey.com/product-detail/en/nichicon/QYX1H273JTP/493-3460-ND/2117749" TargetMode="External"/><Relationship Id="rId15" Type="http://schemas.openxmlformats.org/officeDocument/2006/relationships/hyperlink" Target="https://www.digikey.com/product-detail/en/nichicon/QYX1H563JTP/493-3464-ND/2117753" TargetMode="External"/><Relationship Id="rId14" Type="http://schemas.openxmlformats.org/officeDocument/2006/relationships/hyperlink" Target="https://www.mouser.com/ProductDetail/Nichicon/QYX1H473KTP?qs=sGAEpiMZZMv1cc3ydrPrF4RExZn9GzDqj5zL6c8zSQ8%3D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mouser.com/ProductDetail/Nichicon/QYX1H683KTP3TA?qs=sGAEpiMZZMv1cc3ydrPrF2CPLAojp4yW%252B8FV%2FBScMsg%3D" TargetMode="External"/><Relationship Id="rId1" Type="http://schemas.openxmlformats.org/officeDocument/2006/relationships/hyperlink" Target="https://www.mouser.com/ProductDetail/Nichicon/QYX2A102KTP3TA?qs=sGAEpiMZZMv1cc3ydrPrF5hkhVSC1kyiKYuVv%2FsM5tM%3D" TargetMode="External"/><Relationship Id="rId2" Type="http://schemas.openxmlformats.org/officeDocument/2006/relationships/hyperlink" Target="https://www.mouser.com/ProductDetail/Nichicon/QYX1H152JTP?qs=sGAEpiMZZMv1cc3ydrPrF652zNprbYwMerHDrrYWYCQ%3D" TargetMode="External"/><Relationship Id="rId3" Type="http://schemas.openxmlformats.org/officeDocument/2006/relationships/hyperlink" Target="https://www.digikey.com/product-detail/en/nichicon/QYX2A182JTP/493-3479-ND/2117768" TargetMode="External"/><Relationship Id="rId4" Type="http://schemas.openxmlformats.org/officeDocument/2006/relationships/hyperlink" Target="https://www.mouser.com/ProductDetail/Nichicon/QYX1H222KTP3TA?qs=sGAEpiMZZMv1cc3ydrPrF5BBEjcHoyT3AcE1HS%252B34EQ%3D" TargetMode="External"/><Relationship Id="rId9" Type="http://schemas.openxmlformats.org/officeDocument/2006/relationships/hyperlink" Target="https://www.mouser.com/ProductDetail/Nichicon/QYX2A103KTP?qs=sGAEpiMZZMv1cc3ydrPrF4RExZn9GzDqJw2OyO68o7Y%3D" TargetMode="External"/><Relationship Id="rId5" Type="http://schemas.openxmlformats.org/officeDocument/2006/relationships/hyperlink" Target="https://www.mouser.com/ProductDetail/Nichicon/QYX1H332JTP?qs=sGAEpiMZZMv1cc3ydrPrF652zNprbYwM%252Bgf4%2FHgMWsc%3D" TargetMode="External"/><Relationship Id="rId6" Type="http://schemas.openxmlformats.org/officeDocument/2006/relationships/hyperlink" Target="https://www.mouser.com/ProductDetail/Nichicon/QYX1H392KTP?qs=sGAEpiMZZMv1cc3ydrPrFyoVFLFcIkf0WmP1S9PFiPs%3D" TargetMode="External"/><Relationship Id="rId7" Type="http://schemas.openxmlformats.org/officeDocument/2006/relationships/hyperlink" Target="https://www.mouser.com/ProductDetail/Nichicon/QYX1H472KTP?qs=sGAEpiMZZMv1cc3ydrPrFyoVFLFcIkf0b3mOuVKoz%252Bk%3D" TargetMode="External"/><Relationship Id="rId8" Type="http://schemas.openxmlformats.org/officeDocument/2006/relationships/hyperlink" Target="https://www.mouser.com/ProductDetail/Nichicon/QYX2A682KTP?qs=sGAEpiMZZMv1cc3ydrPrFyoVFLFcIkf0N6ij4ClON1I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7.13"/>
    <col customWidth="1" min="3" max="3" width="11.13"/>
    <col customWidth="1" min="4" max="4" width="18.38"/>
    <col customWidth="1" hidden="1" min="5" max="5" width="8.0"/>
    <col customWidth="1" hidden="1" min="6" max="8" width="21.25"/>
    <col customWidth="1" hidden="1" min="9" max="9" width="7.0"/>
    <col customWidth="1" hidden="1" min="10" max="12" width="19.5"/>
    <col customWidth="1" min="13" max="13" width="8.13"/>
    <col customWidth="1" min="14" max="14" width="6.38"/>
    <col customWidth="1" min="15" max="47" width="4.88"/>
    <col customWidth="1" min="48" max="50" width="4.5"/>
    <col customWidth="1" min="51" max="51" width="7.63"/>
    <col customWidth="1" min="52" max="52" width="7.88"/>
    <col customWidth="1" min="53" max="66" width="7.63"/>
  </cols>
  <sheetData>
    <row r="1">
      <c r="A1" s="4"/>
      <c r="B1" s="4"/>
      <c r="C1" s="2"/>
      <c r="D1" s="2"/>
      <c r="E1" s="2"/>
      <c r="F1" s="2"/>
      <c r="G1" s="6"/>
      <c r="H1" s="6"/>
      <c r="I1" s="2"/>
      <c r="J1" s="2"/>
      <c r="K1" s="6"/>
      <c r="L1" s="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4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>
      <c r="A2" s="4" t="s">
        <v>11</v>
      </c>
      <c r="B2" s="4"/>
      <c r="C2" s="2"/>
      <c r="D2" s="2" t="s">
        <v>12</v>
      </c>
      <c r="E2" s="2" t="s">
        <v>13</v>
      </c>
      <c r="F2" s="2"/>
      <c r="G2" s="6"/>
      <c r="H2" s="6"/>
      <c r="I2" s="2"/>
      <c r="J2" s="2" t="s">
        <v>14</v>
      </c>
      <c r="K2" s="6"/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4" t="s">
        <v>16</v>
      </c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>
      <c r="A3" s="8" t="s">
        <v>17</v>
      </c>
      <c r="B3" s="8"/>
      <c r="C3" s="9"/>
      <c r="D3" s="9"/>
      <c r="E3" s="9"/>
      <c r="F3" s="9"/>
      <c r="G3" s="10"/>
      <c r="H3" s="10"/>
      <c r="I3" s="9"/>
      <c r="J3" s="9"/>
      <c r="K3" s="10"/>
      <c r="L3" s="10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8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</row>
    <row r="4">
      <c r="A4" s="3">
        <f t="shared" ref="A4:A41" si="1">COUNTA(M4:BK4)</f>
        <v>2</v>
      </c>
      <c r="B4" s="4">
        <v>2.7</v>
      </c>
      <c r="C4" s="2" t="s">
        <v>47</v>
      </c>
      <c r="D4" s="2"/>
      <c r="F4" s="2"/>
      <c r="G4" s="6"/>
      <c r="H4" s="6"/>
      <c r="I4" s="2"/>
      <c r="K4" s="6"/>
      <c r="L4" s="6"/>
      <c r="M4" s="2" t="s">
        <v>48</v>
      </c>
      <c r="AZ4" s="3">
        <v>1.0</v>
      </c>
    </row>
    <row r="5">
      <c r="A5" s="3">
        <f t="shared" si="1"/>
        <v>3</v>
      </c>
      <c r="B5" s="4">
        <v>10.0</v>
      </c>
      <c r="C5" s="2"/>
      <c r="D5" s="2"/>
      <c r="E5" s="12" t="s">
        <v>54</v>
      </c>
      <c r="F5" s="13" t="s">
        <v>62</v>
      </c>
      <c r="G5" s="14">
        <v>0.08</v>
      </c>
      <c r="H5" s="14">
        <f t="shared" ref="H5:H20" si="2">AZ5*G5</f>
        <v>0.16</v>
      </c>
      <c r="I5" s="15"/>
      <c r="J5" s="2"/>
      <c r="K5" s="2"/>
      <c r="L5" s="2"/>
      <c r="M5" s="16" t="s">
        <v>67</v>
      </c>
      <c r="N5" s="16" t="s">
        <v>68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3">
        <v>2.0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>
      <c r="A6" s="3">
        <f t="shared" si="1"/>
        <v>2</v>
      </c>
      <c r="B6" s="4">
        <v>22.0</v>
      </c>
      <c r="C6" s="2"/>
      <c r="D6" s="2"/>
      <c r="E6" s="12" t="s">
        <v>54</v>
      </c>
      <c r="F6" s="13" t="s">
        <v>72</v>
      </c>
      <c r="G6" s="14">
        <v>0.08</v>
      </c>
      <c r="H6" s="14">
        <f t="shared" si="2"/>
        <v>0.08</v>
      </c>
      <c r="I6" s="15"/>
      <c r="K6" s="6"/>
      <c r="L6" s="6"/>
      <c r="M6" s="16" t="s">
        <v>55</v>
      </c>
      <c r="N6" s="2"/>
      <c r="AZ6" s="3">
        <v>1.0</v>
      </c>
    </row>
    <row r="7">
      <c r="A7" s="3">
        <f t="shared" si="1"/>
        <v>2</v>
      </c>
      <c r="B7" s="4">
        <v>33.0</v>
      </c>
      <c r="C7" s="2"/>
      <c r="D7" s="2"/>
      <c r="E7" s="12" t="s">
        <v>54</v>
      </c>
      <c r="F7" s="13" t="s">
        <v>74</v>
      </c>
      <c r="G7" s="14">
        <v>0.08</v>
      </c>
      <c r="H7" s="14">
        <f t="shared" si="2"/>
        <v>0.08</v>
      </c>
      <c r="I7" s="15"/>
      <c r="J7" s="2"/>
      <c r="K7" s="2"/>
      <c r="L7" s="2"/>
      <c r="M7" s="16" t="s">
        <v>77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3">
        <v>1.0</v>
      </c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>
      <c r="A8" s="3">
        <f t="shared" si="1"/>
        <v>21</v>
      </c>
      <c r="B8" s="4">
        <v>100.0</v>
      </c>
      <c r="C8" s="2"/>
      <c r="D8" s="2"/>
      <c r="E8" s="12" t="s">
        <v>54</v>
      </c>
      <c r="F8" s="13" t="s">
        <v>81</v>
      </c>
      <c r="G8" s="14">
        <v>0.0248</v>
      </c>
      <c r="H8" s="14">
        <f t="shared" si="2"/>
        <v>0.62</v>
      </c>
      <c r="I8" s="15"/>
      <c r="K8" s="6"/>
      <c r="L8" s="6"/>
      <c r="M8" s="16" t="s">
        <v>87</v>
      </c>
      <c r="N8" s="16" t="s">
        <v>88</v>
      </c>
      <c r="O8" s="16" t="s">
        <v>89</v>
      </c>
      <c r="P8" s="16" t="s">
        <v>90</v>
      </c>
      <c r="Q8" s="16" t="s">
        <v>91</v>
      </c>
      <c r="R8" s="16" t="s">
        <v>92</v>
      </c>
      <c r="S8" s="16" t="s">
        <v>93</v>
      </c>
      <c r="T8" s="24" t="s">
        <v>94</v>
      </c>
      <c r="U8" s="16" t="s">
        <v>97</v>
      </c>
      <c r="V8" s="16" t="s">
        <v>98</v>
      </c>
      <c r="W8" s="16" t="s">
        <v>99</v>
      </c>
      <c r="X8" s="16" t="s">
        <v>101</v>
      </c>
      <c r="Y8" s="16" t="s">
        <v>102</v>
      </c>
      <c r="Z8" s="16" t="s">
        <v>103</v>
      </c>
      <c r="AA8" s="16" t="s">
        <v>104</v>
      </c>
      <c r="AB8" s="16" t="s">
        <v>106</v>
      </c>
      <c r="AC8" s="16" t="s">
        <v>107</v>
      </c>
      <c r="AD8" s="16" t="s">
        <v>108</v>
      </c>
      <c r="AE8" s="16" t="s">
        <v>109</v>
      </c>
      <c r="AF8" s="16" t="s">
        <v>110</v>
      </c>
      <c r="AZ8" s="3">
        <v>25.0</v>
      </c>
    </row>
    <row r="9">
      <c r="A9" s="3">
        <f t="shared" si="1"/>
        <v>2</v>
      </c>
      <c r="B9" s="26">
        <v>180.0</v>
      </c>
      <c r="C9" s="27"/>
      <c r="D9" s="27"/>
      <c r="E9" s="28" t="s">
        <v>54</v>
      </c>
      <c r="F9" s="29" t="s">
        <v>117</v>
      </c>
      <c r="G9" s="30">
        <v>0.08</v>
      </c>
      <c r="H9" s="30">
        <f t="shared" si="2"/>
        <v>0.08</v>
      </c>
      <c r="I9" s="31"/>
      <c r="J9" s="27"/>
      <c r="K9" s="32"/>
      <c r="L9" s="32"/>
      <c r="M9" s="33" t="s">
        <v>125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34">
        <v>1.0</v>
      </c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</row>
    <row r="10">
      <c r="A10" s="3">
        <f t="shared" si="1"/>
        <v>4</v>
      </c>
      <c r="B10" s="4">
        <v>220.0</v>
      </c>
      <c r="D10" s="2"/>
      <c r="E10" s="12" t="s">
        <v>54</v>
      </c>
      <c r="F10" s="13" t="s">
        <v>136</v>
      </c>
      <c r="G10" s="14">
        <v>0.08</v>
      </c>
      <c r="H10" s="14">
        <f t="shared" si="2"/>
        <v>0.24</v>
      </c>
      <c r="I10" s="15"/>
      <c r="K10" s="6"/>
      <c r="L10" s="6"/>
      <c r="M10" s="16" t="s">
        <v>139</v>
      </c>
      <c r="N10" s="16" t="s">
        <v>141</v>
      </c>
      <c r="O10" s="24" t="s">
        <v>142</v>
      </c>
      <c r="AZ10" s="3">
        <v>3.0</v>
      </c>
    </row>
    <row r="11">
      <c r="A11" s="3">
        <f t="shared" si="1"/>
        <v>2</v>
      </c>
      <c r="B11" s="4">
        <v>330.0</v>
      </c>
      <c r="D11" s="2"/>
      <c r="E11" s="12" t="s">
        <v>54</v>
      </c>
      <c r="F11" s="13" t="s">
        <v>145</v>
      </c>
      <c r="G11" s="14">
        <v>0.08</v>
      </c>
      <c r="H11" s="14">
        <f t="shared" si="2"/>
        <v>0.08</v>
      </c>
      <c r="I11" s="15"/>
      <c r="K11" s="6"/>
      <c r="L11" s="6"/>
      <c r="M11" s="16" t="s">
        <v>148</v>
      </c>
      <c r="N11" s="2"/>
      <c r="AZ11" s="3">
        <v>1.0</v>
      </c>
    </row>
    <row r="12">
      <c r="A12" s="3">
        <f t="shared" si="1"/>
        <v>3</v>
      </c>
      <c r="B12" s="26">
        <v>560.0</v>
      </c>
      <c r="C12" s="27"/>
      <c r="D12" s="27"/>
      <c r="E12" s="28" t="s">
        <v>54</v>
      </c>
      <c r="F12" s="29" t="s">
        <v>74</v>
      </c>
      <c r="G12" s="30">
        <v>0.08</v>
      </c>
      <c r="H12" s="30">
        <f t="shared" si="2"/>
        <v>0.16</v>
      </c>
      <c r="I12" s="31"/>
      <c r="J12" s="27"/>
      <c r="K12" s="32"/>
      <c r="L12" s="32"/>
      <c r="M12" s="33" t="s">
        <v>151</v>
      </c>
      <c r="N12" s="33" t="s">
        <v>152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34">
        <v>2.0</v>
      </c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</row>
    <row r="13">
      <c r="A13" s="3">
        <f t="shared" si="1"/>
        <v>5</v>
      </c>
      <c r="B13" s="4">
        <v>680.0</v>
      </c>
      <c r="C13" s="2"/>
      <c r="D13" s="2"/>
      <c r="E13" s="12" t="s">
        <v>54</v>
      </c>
      <c r="F13" s="13" t="s">
        <v>163</v>
      </c>
      <c r="G13" s="14">
        <v>0.034</v>
      </c>
      <c r="H13" s="14">
        <f t="shared" si="2"/>
        <v>0.34</v>
      </c>
      <c r="I13" s="15"/>
      <c r="K13" s="6"/>
      <c r="L13" s="6"/>
      <c r="M13" s="16" t="s">
        <v>166</v>
      </c>
      <c r="N13" s="16" t="s">
        <v>167</v>
      </c>
      <c r="O13" s="16" t="s">
        <v>168</v>
      </c>
      <c r="P13" s="16" t="s">
        <v>169</v>
      </c>
      <c r="AZ13" s="3">
        <v>10.0</v>
      </c>
    </row>
    <row r="14">
      <c r="A14" s="3">
        <f t="shared" si="1"/>
        <v>3</v>
      </c>
      <c r="B14" s="4">
        <v>820.0</v>
      </c>
      <c r="D14" s="2"/>
      <c r="E14" s="12" t="s">
        <v>54</v>
      </c>
      <c r="F14" s="13" t="s">
        <v>163</v>
      </c>
      <c r="G14" s="14">
        <v>0.08</v>
      </c>
      <c r="H14" s="14">
        <f t="shared" si="2"/>
        <v>0.16</v>
      </c>
      <c r="I14" s="15"/>
      <c r="K14" s="6"/>
      <c r="L14" s="6"/>
      <c r="M14" s="16" t="s">
        <v>172</v>
      </c>
      <c r="N14" s="16" t="s">
        <v>173</v>
      </c>
      <c r="AZ14" s="3">
        <v>2.0</v>
      </c>
    </row>
    <row r="15">
      <c r="A15" s="3">
        <f t="shared" si="1"/>
        <v>15</v>
      </c>
      <c r="B15" s="4" t="s">
        <v>174</v>
      </c>
      <c r="C15" s="2"/>
      <c r="D15" s="2"/>
      <c r="E15" s="12" t="s">
        <v>54</v>
      </c>
      <c r="F15" s="13" t="s">
        <v>175</v>
      </c>
      <c r="G15" s="14">
        <v>0.034</v>
      </c>
      <c r="H15" s="14">
        <f t="shared" si="2"/>
        <v>0.476</v>
      </c>
      <c r="I15" s="15"/>
      <c r="J15" s="2"/>
      <c r="K15" s="2"/>
      <c r="L15" s="2"/>
      <c r="M15" s="16" t="s">
        <v>176</v>
      </c>
      <c r="N15" s="16" t="s">
        <v>177</v>
      </c>
      <c r="O15" s="16" t="s">
        <v>178</v>
      </c>
      <c r="P15" s="16" t="s">
        <v>179</v>
      </c>
      <c r="Q15" s="16" t="s">
        <v>180</v>
      </c>
      <c r="R15" s="16" t="s">
        <v>181</v>
      </c>
      <c r="S15" s="16" t="s">
        <v>182</v>
      </c>
      <c r="T15" s="16" t="s">
        <v>183</v>
      </c>
      <c r="U15" s="16" t="s">
        <v>184</v>
      </c>
      <c r="V15" s="16" t="s">
        <v>185</v>
      </c>
      <c r="W15" s="16" t="s">
        <v>186</v>
      </c>
      <c r="X15" s="16" t="s">
        <v>187</v>
      </c>
      <c r="Y15" s="16" t="s">
        <v>188</v>
      </c>
      <c r="Z15" s="16" t="s">
        <v>189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3">
        <v>14.0</v>
      </c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>
      <c r="A16" s="3">
        <f t="shared" si="1"/>
        <v>3</v>
      </c>
      <c r="B16" s="4" t="s">
        <v>190</v>
      </c>
      <c r="C16" s="2"/>
      <c r="D16" s="2"/>
      <c r="E16" s="12" t="s">
        <v>54</v>
      </c>
      <c r="F16" s="13" t="s">
        <v>191</v>
      </c>
      <c r="G16" s="14">
        <v>0.08</v>
      </c>
      <c r="H16" s="14">
        <f t="shared" si="2"/>
        <v>0.16</v>
      </c>
      <c r="I16" s="15"/>
      <c r="J16" s="2"/>
      <c r="K16" s="2"/>
      <c r="L16" s="2"/>
      <c r="M16" s="16" t="s">
        <v>192</v>
      </c>
      <c r="N16" s="37" t="s">
        <v>193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3">
        <v>2.0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>
      <c r="A17" s="3">
        <f t="shared" si="1"/>
        <v>7</v>
      </c>
      <c r="B17" s="4" t="s">
        <v>194</v>
      </c>
      <c r="D17" s="2"/>
      <c r="E17" s="12" t="s">
        <v>54</v>
      </c>
      <c r="F17" s="13" t="s">
        <v>195</v>
      </c>
      <c r="G17" s="14">
        <v>0.034</v>
      </c>
      <c r="H17" s="14">
        <f t="shared" si="2"/>
        <v>0.34</v>
      </c>
      <c r="I17" s="15"/>
      <c r="K17" s="6"/>
      <c r="L17" s="6"/>
      <c r="M17" s="37" t="s">
        <v>196</v>
      </c>
      <c r="N17" s="16" t="s">
        <v>197</v>
      </c>
      <c r="O17" s="16" t="s">
        <v>198</v>
      </c>
      <c r="P17" s="16" t="s">
        <v>199</v>
      </c>
      <c r="Q17" s="16" t="s">
        <v>200</v>
      </c>
      <c r="R17" s="16" t="s">
        <v>201</v>
      </c>
      <c r="AZ17" s="3">
        <v>10.0</v>
      </c>
    </row>
    <row r="18">
      <c r="A18" s="3">
        <f t="shared" si="1"/>
        <v>12</v>
      </c>
      <c r="B18" s="4" t="s">
        <v>202</v>
      </c>
      <c r="C18" s="2"/>
      <c r="D18" s="2"/>
      <c r="E18" s="12" t="s">
        <v>54</v>
      </c>
      <c r="F18" s="13" t="s">
        <v>203</v>
      </c>
      <c r="G18" s="14">
        <v>0.034</v>
      </c>
      <c r="H18" s="14">
        <f t="shared" si="2"/>
        <v>0.374</v>
      </c>
      <c r="I18" s="15"/>
      <c r="J18" s="2"/>
      <c r="K18" s="2"/>
      <c r="L18" s="2"/>
      <c r="M18" s="16" t="s">
        <v>204</v>
      </c>
      <c r="N18" s="16" t="s">
        <v>205</v>
      </c>
      <c r="O18" s="16" t="s">
        <v>206</v>
      </c>
      <c r="P18" s="16" t="s">
        <v>207</v>
      </c>
      <c r="Q18" s="16" t="s">
        <v>208</v>
      </c>
      <c r="R18" s="16" t="s">
        <v>209</v>
      </c>
      <c r="S18" s="16" t="s">
        <v>210</v>
      </c>
      <c r="T18" s="16" t="s">
        <v>211</v>
      </c>
      <c r="U18" s="16" t="s">
        <v>212</v>
      </c>
      <c r="V18" s="16" t="s">
        <v>213</v>
      </c>
      <c r="W18" s="16" t="s">
        <v>214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3">
        <v>11.0</v>
      </c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>
      <c r="A19" s="3">
        <f t="shared" si="1"/>
        <v>14</v>
      </c>
      <c r="B19" s="4" t="s">
        <v>215</v>
      </c>
      <c r="C19" s="2"/>
      <c r="D19" s="2"/>
      <c r="E19" s="12" t="s">
        <v>54</v>
      </c>
      <c r="F19" s="13" t="s">
        <v>216</v>
      </c>
      <c r="G19" s="14">
        <v>0.034</v>
      </c>
      <c r="H19" s="14">
        <f t="shared" si="2"/>
        <v>0.442</v>
      </c>
      <c r="I19" s="15"/>
      <c r="J19" s="2"/>
      <c r="K19" s="2"/>
      <c r="L19" s="2"/>
      <c r="M19" s="16" t="s">
        <v>217</v>
      </c>
      <c r="N19" s="16" t="s">
        <v>49</v>
      </c>
      <c r="O19" s="16" t="s">
        <v>50</v>
      </c>
      <c r="P19" s="16" t="s">
        <v>218</v>
      </c>
      <c r="Q19" s="16" t="s">
        <v>219</v>
      </c>
      <c r="R19" s="38" t="s">
        <v>220</v>
      </c>
      <c r="S19" s="39" t="s">
        <v>221</v>
      </c>
      <c r="T19" s="16" t="s">
        <v>222</v>
      </c>
      <c r="U19" s="38" t="s">
        <v>223</v>
      </c>
      <c r="V19" s="38" t="s">
        <v>224</v>
      </c>
      <c r="W19" s="16" t="s">
        <v>225</v>
      </c>
      <c r="X19" s="16" t="s">
        <v>226</v>
      </c>
      <c r="Y19" s="16" t="s">
        <v>227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3">
        <v>13.0</v>
      </c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>
      <c r="A20" s="3">
        <f t="shared" si="1"/>
        <v>3</v>
      </c>
      <c r="B20" s="4" t="s">
        <v>228</v>
      </c>
      <c r="C20" s="2"/>
      <c r="D20" s="2"/>
      <c r="E20" s="12" t="s">
        <v>54</v>
      </c>
      <c r="F20" s="13" t="s">
        <v>229</v>
      </c>
      <c r="G20" s="14">
        <v>0.08</v>
      </c>
      <c r="H20" s="14">
        <f t="shared" si="2"/>
        <v>0.16</v>
      </c>
      <c r="I20" s="15"/>
      <c r="J20" s="2"/>
      <c r="K20" s="2"/>
      <c r="L20" s="2"/>
      <c r="M20" s="24" t="s">
        <v>230</v>
      </c>
      <c r="N20" s="16" t="s">
        <v>231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3">
        <v>2.0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ht="15.75" customHeight="1">
      <c r="A21" s="3">
        <f t="shared" si="1"/>
        <v>2</v>
      </c>
      <c r="B21" s="4" t="s">
        <v>232</v>
      </c>
      <c r="C21" s="2"/>
      <c r="D21" s="2"/>
      <c r="E21" s="12"/>
      <c r="F21" s="13"/>
      <c r="G21" s="14"/>
      <c r="H21" s="14"/>
      <c r="I21" s="15"/>
      <c r="J21" s="2"/>
      <c r="K21" s="2"/>
      <c r="L21" s="2"/>
      <c r="M21" s="16" t="s">
        <v>233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3">
        <v>1.0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ht="15.75" customHeight="1">
      <c r="A22" s="3">
        <f t="shared" si="1"/>
        <v>39</v>
      </c>
      <c r="B22" s="4" t="s">
        <v>234</v>
      </c>
      <c r="C22" s="2"/>
      <c r="D22" s="2"/>
      <c r="E22" s="12" t="s">
        <v>54</v>
      </c>
      <c r="F22" s="13" t="s">
        <v>235</v>
      </c>
      <c r="G22" s="14">
        <v>0.019</v>
      </c>
      <c r="H22" s="14">
        <f t="shared" ref="H22:H41" si="3">AZ22*G22</f>
        <v>0.95</v>
      </c>
      <c r="I22" s="15"/>
      <c r="J22" s="2"/>
      <c r="K22" s="2"/>
      <c r="L22" s="2"/>
      <c r="M22" s="16" t="s">
        <v>236</v>
      </c>
      <c r="N22" s="16" t="s">
        <v>25</v>
      </c>
      <c r="O22" s="16" t="s">
        <v>237</v>
      </c>
      <c r="P22" s="16" t="s">
        <v>238</v>
      </c>
      <c r="Q22" s="16" t="s">
        <v>239</v>
      </c>
      <c r="R22" s="16" t="s">
        <v>240</v>
      </c>
      <c r="S22" s="16" t="s">
        <v>241</v>
      </c>
      <c r="T22" s="16" t="s">
        <v>242</v>
      </c>
      <c r="U22" s="16" t="s">
        <v>243</v>
      </c>
      <c r="V22" s="16" t="s">
        <v>244</v>
      </c>
      <c r="W22" s="16" t="s">
        <v>245</v>
      </c>
      <c r="X22" s="16" t="s">
        <v>246</v>
      </c>
      <c r="Y22" s="16" t="s">
        <v>247</v>
      </c>
      <c r="Z22" s="16" t="s">
        <v>248</v>
      </c>
      <c r="AA22" s="16" t="s">
        <v>249</v>
      </c>
      <c r="AB22" s="16" t="s">
        <v>250</v>
      </c>
      <c r="AC22" s="16" t="s">
        <v>251</v>
      </c>
      <c r="AD22" s="24" t="s">
        <v>252</v>
      </c>
      <c r="AE22" s="24" t="s">
        <v>253</v>
      </c>
      <c r="AF22" s="39" t="s">
        <v>254</v>
      </c>
      <c r="AG22" s="39" t="s">
        <v>255</v>
      </c>
      <c r="AH22" s="16" t="s">
        <v>256</v>
      </c>
      <c r="AI22" s="16" t="s">
        <v>257</v>
      </c>
      <c r="AJ22" s="16" t="s">
        <v>258</v>
      </c>
      <c r="AK22" s="16" t="s">
        <v>259</v>
      </c>
      <c r="AL22" s="16" t="s">
        <v>260</v>
      </c>
      <c r="AM22" s="16" t="s">
        <v>261</v>
      </c>
      <c r="AN22" s="16" t="s">
        <v>262</v>
      </c>
      <c r="AO22" s="16" t="s">
        <v>263</v>
      </c>
      <c r="AP22" s="16" t="s">
        <v>264</v>
      </c>
      <c r="AQ22" s="16" t="s">
        <v>265</v>
      </c>
      <c r="AR22" s="16" t="s">
        <v>266</v>
      </c>
      <c r="AS22" s="16" t="s">
        <v>267</v>
      </c>
      <c r="AT22" s="16" t="s">
        <v>268</v>
      </c>
      <c r="AU22" s="16" t="s">
        <v>269</v>
      </c>
      <c r="AV22" s="16" t="s">
        <v>270</v>
      </c>
      <c r="AW22" s="16" t="s">
        <v>271</v>
      </c>
      <c r="AX22" s="16" t="s">
        <v>272</v>
      </c>
      <c r="AY22" s="2"/>
      <c r="AZ22" s="3">
        <v>50.0</v>
      </c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ht="15.75" customHeight="1">
      <c r="A23" s="3">
        <f t="shared" si="1"/>
        <v>3</v>
      </c>
      <c r="B23" s="4" t="s">
        <v>273</v>
      </c>
      <c r="C23" s="2"/>
      <c r="D23" s="2"/>
      <c r="E23" s="12" t="s">
        <v>54</v>
      </c>
      <c r="F23" s="13" t="s">
        <v>274</v>
      </c>
      <c r="G23" s="14">
        <v>0.08</v>
      </c>
      <c r="H23" s="14">
        <f t="shared" si="3"/>
        <v>0.16</v>
      </c>
      <c r="I23" s="15"/>
      <c r="J23" s="2"/>
      <c r="K23" s="2"/>
      <c r="L23" s="2"/>
      <c r="M23" s="16" t="s">
        <v>275</v>
      </c>
      <c r="N23" s="16" t="s">
        <v>276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3">
        <v>2.0</v>
      </c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ht="15.75" customHeight="1">
      <c r="A24" s="3">
        <f t="shared" si="1"/>
        <v>25</v>
      </c>
      <c r="B24" s="4" t="s">
        <v>277</v>
      </c>
      <c r="C24" s="2"/>
      <c r="D24" s="2"/>
      <c r="E24" s="12" t="s">
        <v>54</v>
      </c>
      <c r="F24" s="13" t="s">
        <v>278</v>
      </c>
      <c r="G24" s="14">
        <v>0.0248</v>
      </c>
      <c r="H24" s="14">
        <f t="shared" si="3"/>
        <v>0.62</v>
      </c>
      <c r="I24" s="15"/>
      <c r="J24" s="2"/>
      <c r="K24" s="2"/>
      <c r="L24" s="2"/>
      <c r="M24" s="16" t="s">
        <v>279</v>
      </c>
      <c r="N24" s="16" t="s">
        <v>280</v>
      </c>
      <c r="O24" s="16" t="s">
        <v>281</v>
      </c>
      <c r="P24" s="16" t="s">
        <v>282</v>
      </c>
      <c r="Q24" s="16" t="s">
        <v>283</v>
      </c>
      <c r="R24" s="16" t="s">
        <v>34</v>
      </c>
      <c r="S24" s="16" t="s">
        <v>35</v>
      </c>
      <c r="T24" s="16" t="s">
        <v>36</v>
      </c>
      <c r="U24" s="16" t="s">
        <v>37</v>
      </c>
      <c r="V24" s="16" t="s">
        <v>38</v>
      </c>
      <c r="W24" s="16" t="s">
        <v>29</v>
      </c>
      <c r="X24" s="16" t="s">
        <v>284</v>
      </c>
      <c r="Y24" s="39" t="s">
        <v>285</v>
      </c>
      <c r="Z24" s="39" t="s">
        <v>286</v>
      </c>
      <c r="AA24" s="39" t="s">
        <v>287</v>
      </c>
      <c r="AB24" s="16" t="s">
        <v>288</v>
      </c>
      <c r="AC24" s="16" t="s">
        <v>289</v>
      </c>
      <c r="AD24" s="16" t="s">
        <v>290</v>
      </c>
      <c r="AE24" s="16" t="s">
        <v>291</v>
      </c>
      <c r="AF24" s="16" t="s">
        <v>292</v>
      </c>
      <c r="AG24" s="16" t="s">
        <v>293</v>
      </c>
      <c r="AH24" s="16" t="s">
        <v>294</v>
      </c>
      <c r="AI24" s="16" t="s">
        <v>295</v>
      </c>
      <c r="AJ24" s="16" t="s">
        <v>296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3">
        <v>25.0</v>
      </c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ht="15.75" customHeight="1">
      <c r="A25" s="3">
        <f t="shared" si="1"/>
        <v>5</v>
      </c>
      <c r="B25" s="4" t="s">
        <v>297</v>
      </c>
      <c r="C25" s="2"/>
      <c r="D25" s="2"/>
      <c r="E25" s="12" t="s">
        <v>54</v>
      </c>
      <c r="F25" s="13" t="s">
        <v>298</v>
      </c>
      <c r="G25" s="14">
        <v>0.034</v>
      </c>
      <c r="H25" s="14">
        <f t="shared" si="3"/>
        <v>0.34</v>
      </c>
      <c r="I25" s="15"/>
      <c r="J25" s="2"/>
      <c r="K25" s="2"/>
      <c r="L25" s="2"/>
      <c r="M25" s="16" t="s">
        <v>299</v>
      </c>
      <c r="N25" s="16" t="s">
        <v>300</v>
      </c>
      <c r="O25" s="16" t="s">
        <v>301</v>
      </c>
      <c r="P25" s="24" t="s">
        <v>302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3">
        <v>10.0</v>
      </c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ht="15.75" customHeight="1">
      <c r="A26" s="3">
        <f t="shared" si="1"/>
        <v>35</v>
      </c>
      <c r="B26" s="4" t="s">
        <v>303</v>
      </c>
      <c r="C26" s="2"/>
      <c r="D26" s="2"/>
      <c r="E26" s="12" t="s">
        <v>54</v>
      </c>
      <c r="F26" s="13" t="s">
        <v>304</v>
      </c>
      <c r="G26" s="14">
        <v>0.019</v>
      </c>
      <c r="H26" s="14">
        <f t="shared" si="3"/>
        <v>0.95</v>
      </c>
      <c r="I26" s="15"/>
      <c r="J26" s="2"/>
      <c r="K26" s="2"/>
      <c r="L26" s="2"/>
      <c r="M26" s="16" t="s">
        <v>305</v>
      </c>
      <c r="N26" s="16" t="s">
        <v>306</v>
      </c>
      <c r="O26" s="16" t="s">
        <v>307</v>
      </c>
      <c r="P26" s="24" t="s">
        <v>308</v>
      </c>
      <c r="Q26" s="16" t="s">
        <v>309</v>
      </c>
      <c r="R26" s="16" t="s">
        <v>310</v>
      </c>
      <c r="S26" s="16" t="s">
        <v>311</v>
      </c>
      <c r="T26" s="16" t="s">
        <v>312</v>
      </c>
      <c r="U26" s="24" t="s">
        <v>313</v>
      </c>
      <c r="V26" s="16" t="s">
        <v>314</v>
      </c>
      <c r="W26" s="16" t="s">
        <v>315</v>
      </c>
      <c r="X26" s="16" t="s">
        <v>316</v>
      </c>
      <c r="Y26" s="16" t="s">
        <v>317</v>
      </c>
      <c r="Z26" s="16" t="s">
        <v>318</v>
      </c>
      <c r="AA26" s="16" t="s">
        <v>319</v>
      </c>
      <c r="AB26" s="16" t="s">
        <v>320</v>
      </c>
      <c r="AC26" s="16" t="s">
        <v>321</v>
      </c>
      <c r="AD26" s="24" t="s">
        <v>322</v>
      </c>
      <c r="AE26" s="16" t="s">
        <v>323</v>
      </c>
      <c r="AF26" s="16" t="s">
        <v>324</v>
      </c>
      <c r="AG26" s="24" t="s">
        <v>325</v>
      </c>
      <c r="AH26" s="16" t="s">
        <v>326</v>
      </c>
      <c r="AI26" s="24" t="s">
        <v>327</v>
      </c>
      <c r="AJ26" s="16" t="s">
        <v>328</v>
      </c>
      <c r="AK26" s="16" t="s">
        <v>329</v>
      </c>
      <c r="AL26" s="16" t="s">
        <v>330</v>
      </c>
      <c r="AM26" s="16" t="s">
        <v>331</v>
      </c>
      <c r="AN26" s="16" t="s">
        <v>332</v>
      </c>
      <c r="AO26" s="16" t="s">
        <v>333</v>
      </c>
      <c r="AP26" s="16" t="s">
        <v>334</v>
      </c>
      <c r="AQ26" s="16" t="s">
        <v>335</v>
      </c>
      <c r="AR26" s="16" t="s">
        <v>336</v>
      </c>
      <c r="AS26" s="16" t="s">
        <v>337</v>
      </c>
      <c r="AT26" s="16" t="s">
        <v>338</v>
      </c>
      <c r="AU26" s="2"/>
      <c r="AV26" s="2"/>
      <c r="AW26" s="2"/>
      <c r="AX26" s="2"/>
      <c r="AY26" s="2"/>
      <c r="AZ26" s="3">
        <v>50.0</v>
      </c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ht="15.75" customHeight="1">
      <c r="A27" s="3">
        <f t="shared" si="1"/>
        <v>5</v>
      </c>
      <c r="B27" s="4" t="s">
        <v>339</v>
      </c>
      <c r="D27" s="2"/>
      <c r="E27" s="12" t="s">
        <v>54</v>
      </c>
      <c r="F27" s="13" t="s">
        <v>340</v>
      </c>
      <c r="G27" s="14">
        <v>0.034</v>
      </c>
      <c r="H27" s="14">
        <f t="shared" si="3"/>
        <v>0.34</v>
      </c>
      <c r="I27" s="15"/>
      <c r="K27" s="6"/>
      <c r="L27" s="6"/>
      <c r="M27" s="16" t="s">
        <v>341</v>
      </c>
      <c r="N27" s="16" t="s">
        <v>342</v>
      </c>
      <c r="O27" s="16" t="s">
        <v>343</v>
      </c>
      <c r="P27" s="16" t="s">
        <v>344</v>
      </c>
      <c r="AZ27" s="3">
        <v>10.0</v>
      </c>
    </row>
    <row r="28" ht="15.75" customHeight="1">
      <c r="A28" s="3">
        <f t="shared" si="1"/>
        <v>21</v>
      </c>
      <c r="B28" s="4" t="s">
        <v>345</v>
      </c>
      <c r="C28" s="2"/>
      <c r="D28" s="2"/>
      <c r="E28" s="12" t="s">
        <v>54</v>
      </c>
      <c r="F28" s="13" t="s">
        <v>346</v>
      </c>
      <c r="G28" s="14">
        <v>0.0248</v>
      </c>
      <c r="H28" s="14">
        <f t="shared" si="3"/>
        <v>0.62</v>
      </c>
      <c r="I28" s="15"/>
      <c r="J28" s="2"/>
      <c r="K28" s="2"/>
      <c r="L28" s="2"/>
      <c r="M28" s="16" t="s">
        <v>347</v>
      </c>
      <c r="N28" s="16" t="s">
        <v>348</v>
      </c>
      <c r="O28" s="16" t="s">
        <v>349</v>
      </c>
      <c r="P28" s="16" t="s">
        <v>350</v>
      </c>
      <c r="Q28" s="16" t="s">
        <v>46</v>
      </c>
      <c r="R28" s="16" t="s">
        <v>39</v>
      </c>
      <c r="S28" s="16" t="s">
        <v>351</v>
      </c>
      <c r="T28" s="16" t="s">
        <v>352</v>
      </c>
      <c r="U28" s="16" t="s">
        <v>353</v>
      </c>
      <c r="V28" s="16" t="s">
        <v>354</v>
      </c>
      <c r="W28" s="16" t="s">
        <v>355</v>
      </c>
      <c r="X28" s="16" t="s">
        <v>356</v>
      </c>
      <c r="Y28" s="16" t="s">
        <v>357</v>
      </c>
      <c r="Z28" s="16" t="s">
        <v>358</v>
      </c>
      <c r="AA28" s="39" t="s">
        <v>359</v>
      </c>
      <c r="AB28" s="39" t="s">
        <v>360</v>
      </c>
      <c r="AC28" s="39" t="s">
        <v>361</v>
      </c>
      <c r="AD28" s="16" t="s">
        <v>362</v>
      </c>
      <c r="AE28" s="16" t="s">
        <v>363</v>
      </c>
      <c r="AF28" s="16" t="s">
        <v>364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3">
        <v>25.0</v>
      </c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ht="15.75" customHeight="1">
      <c r="A29" s="3">
        <f t="shared" si="1"/>
        <v>11</v>
      </c>
      <c r="B29" s="4" t="s">
        <v>365</v>
      </c>
      <c r="C29" s="2"/>
      <c r="D29" s="2"/>
      <c r="E29" s="12" t="s">
        <v>54</v>
      </c>
      <c r="F29" s="13" t="s">
        <v>366</v>
      </c>
      <c r="G29" s="14">
        <v>0.034</v>
      </c>
      <c r="H29" s="14">
        <f t="shared" si="3"/>
        <v>0.34</v>
      </c>
      <c r="I29" s="15"/>
      <c r="J29" s="2"/>
      <c r="K29" s="2"/>
      <c r="L29" s="2"/>
      <c r="M29" s="16" t="s">
        <v>367</v>
      </c>
      <c r="N29" s="16" t="s">
        <v>368</v>
      </c>
      <c r="O29" s="16" t="s">
        <v>369</v>
      </c>
      <c r="P29" s="16" t="s">
        <v>370</v>
      </c>
      <c r="Q29" s="24" t="s">
        <v>371</v>
      </c>
      <c r="R29" s="24" t="s">
        <v>372</v>
      </c>
      <c r="S29" s="24" t="s">
        <v>373</v>
      </c>
      <c r="T29" s="24" t="s">
        <v>374</v>
      </c>
      <c r="U29" s="16" t="s">
        <v>375</v>
      </c>
      <c r="V29" s="16" t="s">
        <v>376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3">
        <v>10.0</v>
      </c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ht="15.75" customHeight="1">
      <c r="A30" s="3">
        <f t="shared" si="1"/>
        <v>33</v>
      </c>
      <c r="B30" s="4" t="s">
        <v>377</v>
      </c>
      <c r="C30" s="2"/>
      <c r="D30" s="2"/>
      <c r="E30" s="12" t="s">
        <v>54</v>
      </c>
      <c r="F30" s="13" t="s">
        <v>378</v>
      </c>
      <c r="G30" s="14">
        <v>0.0228</v>
      </c>
      <c r="H30" s="14">
        <f t="shared" si="3"/>
        <v>1.14</v>
      </c>
      <c r="I30" s="15"/>
      <c r="J30" s="2"/>
      <c r="K30" s="2"/>
      <c r="L30" s="2"/>
      <c r="M30" s="16" t="s">
        <v>379</v>
      </c>
      <c r="N30" s="16" t="s">
        <v>380</v>
      </c>
      <c r="O30" s="16" t="s">
        <v>381</v>
      </c>
      <c r="P30" s="16" t="s">
        <v>382</v>
      </c>
      <c r="Q30" s="16" t="s">
        <v>383</v>
      </c>
      <c r="R30" s="16" t="s">
        <v>384</v>
      </c>
      <c r="S30" s="16" t="s">
        <v>385</v>
      </c>
      <c r="T30" s="16" t="s">
        <v>386</v>
      </c>
      <c r="U30" s="16" t="s">
        <v>40</v>
      </c>
      <c r="V30" s="16" t="s">
        <v>41</v>
      </c>
      <c r="W30" s="16" t="s">
        <v>387</v>
      </c>
      <c r="X30" s="16" t="s">
        <v>388</v>
      </c>
      <c r="Y30" s="16" t="s">
        <v>389</v>
      </c>
      <c r="Z30" s="16" t="s">
        <v>390</v>
      </c>
      <c r="AA30" s="16" t="s">
        <v>391</v>
      </c>
      <c r="AB30" s="16" t="s">
        <v>392</v>
      </c>
      <c r="AC30" s="16" t="s">
        <v>393</v>
      </c>
      <c r="AD30" s="16" t="s">
        <v>394</v>
      </c>
      <c r="AE30" s="16" t="s">
        <v>395</v>
      </c>
      <c r="AF30" s="16" t="s">
        <v>396</v>
      </c>
      <c r="AG30" s="16" t="s">
        <v>397</v>
      </c>
      <c r="AH30" s="24" t="s">
        <v>398</v>
      </c>
      <c r="AI30" s="16" t="s">
        <v>399</v>
      </c>
      <c r="AJ30" s="16" t="s">
        <v>400</v>
      </c>
      <c r="AK30" s="16" t="s">
        <v>401</v>
      </c>
      <c r="AL30" s="16" t="s">
        <v>402</v>
      </c>
      <c r="AM30" s="16" t="s">
        <v>403</v>
      </c>
      <c r="AN30" s="16" t="s">
        <v>404</v>
      </c>
      <c r="AO30" s="16" t="s">
        <v>405</v>
      </c>
      <c r="AP30" s="16" t="s">
        <v>406</v>
      </c>
      <c r="AQ30" s="16" t="s">
        <v>407</v>
      </c>
      <c r="AR30" s="16" t="s">
        <v>408</v>
      </c>
      <c r="AS30" s="2"/>
      <c r="AT30" s="2"/>
      <c r="AU30" s="2"/>
      <c r="AV30" s="2"/>
      <c r="AW30" s="2"/>
      <c r="AX30" s="2"/>
      <c r="AY30" s="2"/>
      <c r="AZ30" s="3">
        <v>50.0</v>
      </c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ht="15.75" customHeight="1">
      <c r="A31" s="3">
        <f t="shared" si="1"/>
        <v>3</v>
      </c>
      <c r="B31" s="4" t="s">
        <v>409</v>
      </c>
      <c r="C31" s="2"/>
      <c r="D31" s="2"/>
      <c r="E31" s="12" t="s">
        <v>54</v>
      </c>
      <c r="F31" s="13" t="s">
        <v>410</v>
      </c>
      <c r="G31" s="14">
        <v>0.08</v>
      </c>
      <c r="H31" s="14">
        <f t="shared" si="3"/>
        <v>0.16</v>
      </c>
      <c r="I31" s="15"/>
      <c r="J31" s="2"/>
      <c r="K31" s="2"/>
      <c r="L31" s="2"/>
      <c r="M31" s="16" t="s">
        <v>411</v>
      </c>
      <c r="N31" s="24" t="s">
        <v>412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3">
        <v>2.0</v>
      </c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ht="15.75" customHeight="1">
      <c r="A32" s="3">
        <f t="shared" si="1"/>
        <v>8</v>
      </c>
      <c r="B32" s="4" t="s">
        <v>413</v>
      </c>
      <c r="C32" s="2"/>
      <c r="D32" s="2"/>
      <c r="E32" s="12" t="s">
        <v>54</v>
      </c>
      <c r="F32" s="13" t="s">
        <v>414</v>
      </c>
      <c r="G32" s="14">
        <v>0.034</v>
      </c>
      <c r="H32" s="14">
        <f t="shared" si="3"/>
        <v>0.34</v>
      </c>
      <c r="I32" s="15"/>
      <c r="J32" s="2"/>
      <c r="K32" s="2"/>
      <c r="L32" s="2"/>
      <c r="M32" s="16" t="s">
        <v>415</v>
      </c>
      <c r="N32" s="16" t="s">
        <v>416</v>
      </c>
      <c r="O32" s="16" t="s">
        <v>417</v>
      </c>
      <c r="P32" s="16" t="s">
        <v>418</v>
      </c>
      <c r="Q32" s="16" t="s">
        <v>419</v>
      </c>
      <c r="R32" s="16" t="s">
        <v>420</v>
      </c>
      <c r="S32" s="16" t="s">
        <v>421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3">
        <v>10.0</v>
      </c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ht="15.75" customHeight="1">
      <c r="A33" s="3">
        <f t="shared" si="1"/>
        <v>28</v>
      </c>
      <c r="B33" s="4" t="s">
        <v>422</v>
      </c>
      <c r="D33" s="2"/>
      <c r="E33" s="12" t="s">
        <v>54</v>
      </c>
      <c r="F33" s="13" t="s">
        <v>423</v>
      </c>
      <c r="G33" s="14">
        <v>0.0248</v>
      </c>
      <c r="H33" s="14">
        <f t="shared" si="3"/>
        <v>0.6448</v>
      </c>
      <c r="I33" s="15"/>
      <c r="K33" s="6"/>
      <c r="L33" s="6"/>
      <c r="M33" s="16" t="s">
        <v>424</v>
      </c>
      <c r="N33" s="16" t="s">
        <v>425</v>
      </c>
      <c r="O33" s="16" t="s">
        <v>426</v>
      </c>
      <c r="P33" s="16" t="s">
        <v>427</v>
      </c>
      <c r="Q33" s="16" t="s">
        <v>428</v>
      </c>
      <c r="R33" s="16" t="s">
        <v>429</v>
      </c>
      <c r="S33" s="16" t="s">
        <v>430</v>
      </c>
      <c r="T33" s="16" t="s">
        <v>431</v>
      </c>
      <c r="U33" s="16" t="s">
        <v>432</v>
      </c>
      <c r="V33" s="16" t="s">
        <v>433</v>
      </c>
      <c r="W33" s="39" t="s">
        <v>434</v>
      </c>
      <c r="X33" s="16" t="s">
        <v>435</v>
      </c>
      <c r="Y33" s="16" t="s">
        <v>436</v>
      </c>
      <c r="Z33" s="16" t="s">
        <v>437</v>
      </c>
      <c r="AA33" s="16" t="s">
        <v>438</v>
      </c>
      <c r="AB33" s="16" t="s">
        <v>439</v>
      </c>
      <c r="AC33" s="24" t="s">
        <v>440</v>
      </c>
      <c r="AD33" s="24" t="s">
        <v>441</v>
      </c>
      <c r="AE33" s="16" t="s">
        <v>442</v>
      </c>
      <c r="AF33" s="16" t="s">
        <v>443</v>
      </c>
      <c r="AG33" s="16" t="s">
        <v>444</v>
      </c>
      <c r="AH33" s="16" t="s">
        <v>445</v>
      </c>
      <c r="AI33" s="16" t="s">
        <v>446</v>
      </c>
      <c r="AJ33" s="16" t="s">
        <v>447</v>
      </c>
      <c r="AK33" s="16" t="s">
        <v>448</v>
      </c>
      <c r="AL33" s="16" t="s">
        <v>449</v>
      </c>
      <c r="AM33" s="16" t="s">
        <v>450</v>
      </c>
      <c r="AZ33" s="3">
        <v>26.0</v>
      </c>
    </row>
    <row r="34" ht="15.75" customHeight="1">
      <c r="A34" s="3">
        <f t="shared" si="1"/>
        <v>9</v>
      </c>
      <c r="B34" s="40" t="s">
        <v>451</v>
      </c>
      <c r="D34" s="2"/>
      <c r="E34" s="12" t="s">
        <v>54</v>
      </c>
      <c r="F34" s="13" t="s">
        <v>452</v>
      </c>
      <c r="G34" s="14">
        <v>0.034</v>
      </c>
      <c r="H34" s="14">
        <f t="shared" si="3"/>
        <v>0.34</v>
      </c>
      <c r="I34" s="15"/>
      <c r="K34" s="6"/>
      <c r="L34" s="6"/>
      <c r="M34" s="16" t="s">
        <v>453</v>
      </c>
      <c r="N34" s="16" t="s">
        <v>454</v>
      </c>
      <c r="O34" s="16" t="s">
        <v>455</v>
      </c>
      <c r="P34" s="16" t="s">
        <v>456</v>
      </c>
      <c r="Q34" s="16" t="s">
        <v>457</v>
      </c>
      <c r="R34" s="16" t="s">
        <v>458</v>
      </c>
      <c r="S34" s="16" t="s">
        <v>459</v>
      </c>
      <c r="T34" s="16" t="s">
        <v>460</v>
      </c>
      <c r="AC34" s="2"/>
      <c r="AZ34" s="3">
        <v>10.0</v>
      </c>
    </row>
    <row r="35" ht="15.75" customHeight="1">
      <c r="A35" s="3">
        <f t="shared" si="1"/>
        <v>2</v>
      </c>
      <c r="B35" s="4" t="s">
        <v>461</v>
      </c>
      <c r="D35" s="2"/>
      <c r="E35" s="12" t="s">
        <v>54</v>
      </c>
      <c r="F35" s="13" t="s">
        <v>462</v>
      </c>
      <c r="G35" s="14">
        <v>0.08</v>
      </c>
      <c r="H35" s="14">
        <f t="shared" si="3"/>
        <v>0.08</v>
      </c>
      <c r="I35" s="15"/>
      <c r="K35" s="6"/>
      <c r="L35" s="6"/>
      <c r="M35" s="16" t="s">
        <v>463</v>
      </c>
      <c r="AZ35" s="3">
        <v>1.0</v>
      </c>
    </row>
    <row r="36" ht="15.75" customHeight="1">
      <c r="A36" s="3">
        <f t="shared" si="1"/>
        <v>3</v>
      </c>
      <c r="B36" s="4" t="s">
        <v>464</v>
      </c>
      <c r="C36" s="2"/>
      <c r="D36" s="2"/>
      <c r="E36" s="12" t="s">
        <v>54</v>
      </c>
      <c r="F36" s="13" t="s">
        <v>465</v>
      </c>
      <c r="G36" s="14">
        <v>0.08</v>
      </c>
      <c r="H36" s="14">
        <f t="shared" si="3"/>
        <v>0.16</v>
      </c>
      <c r="I36" s="15"/>
      <c r="J36" s="2"/>
      <c r="K36" s="2"/>
      <c r="L36" s="2"/>
      <c r="M36" s="16" t="s">
        <v>466</v>
      </c>
      <c r="N36" s="16" t="s">
        <v>467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3">
        <v>2.0</v>
      </c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ht="15.75" customHeight="1">
      <c r="A37" s="3">
        <f t="shared" si="1"/>
        <v>8</v>
      </c>
      <c r="B37" s="4" t="s">
        <v>468</v>
      </c>
      <c r="C37" s="2"/>
      <c r="D37" s="2"/>
      <c r="E37" s="12" t="s">
        <v>54</v>
      </c>
      <c r="F37" s="13" t="s">
        <v>469</v>
      </c>
      <c r="G37" s="14">
        <v>0.034</v>
      </c>
      <c r="H37" s="14">
        <f t="shared" si="3"/>
        <v>0.34</v>
      </c>
      <c r="I37" s="15"/>
      <c r="J37" s="2"/>
      <c r="K37" s="2"/>
      <c r="L37" s="2"/>
      <c r="M37" s="16" t="s">
        <v>470</v>
      </c>
      <c r="N37" s="16" t="s">
        <v>471</v>
      </c>
      <c r="O37" s="16" t="s">
        <v>472</v>
      </c>
      <c r="P37" s="16" t="s">
        <v>473</v>
      </c>
      <c r="Q37" s="16" t="s">
        <v>474</v>
      </c>
      <c r="R37" s="16" t="s">
        <v>475</v>
      </c>
      <c r="S37" s="16" t="s">
        <v>476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3">
        <v>10.0</v>
      </c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ht="15.75" customHeight="1">
      <c r="A38" s="3">
        <f t="shared" si="1"/>
        <v>4</v>
      </c>
      <c r="B38" s="26" t="s">
        <v>5</v>
      </c>
      <c r="C38" s="27"/>
      <c r="D38" s="27"/>
      <c r="E38" s="28" t="s">
        <v>54</v>
      </c>
      <c r="F38" s="29" t="s">
        <v>477</v>
      </c>
      <c r="G38" s="30">
        <v>0.08</v>
      </c>
      <c r="H38" s="30">
        <f t="shared" si="3"/>
        <v>0.24</v>
      </c>
      <c r="I38" s="31"/>
      <c r="J38" s="27"/>
      <c r="K38" s="27"/>
      <c r="L38" s="27"/>
      <c r="M38" s="33" t="s">
        <v>478</v>
      </c>
      <c r="N38" s="33" t="s">
        <v>479</v>
      </c>
      <c r="O38" s="33" t="s">
        <v>480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34">
        <v>3.0</v>
      </c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</row>
    <row r="39" ht="15.75" customHeight="1">
      <c r="A39" s="3">
        <f t="shared" si="1"/>
        <v>7</v>
      </c>
      <c r="B39" s="4" t="s">
        <v>481</v>
      </c>
      <c r="C39" s="2"/>
      <c r="D39" s="2"/>
      <c r="E39" s="12" t="s">
        <v>54</v>
      </c>
      <c r="F39" s="13" t="s">
        <v>482</v>
      </c>
      <c r="G39" s="14">
        <v>0.034</v>
      </c>
      <c r="H39" s="14">
        <f t="shared" si="3"/>
        <v>0.34</v>
      </c>
      <c r="I39" s="15"/>
      <c r="J39" s="2"/>
      <c r="K39" s="2"/>
      <c r="L39" s="2"/>
      <c r="M39" s="16" t="s">
        <v>483</v>
      </c>
      <c r="N39" s="16" t="s">
        <v>484</v>
      </c>
      <c r="O39" s="16" t="s">
        <v>485</v>
      </c>
      <c r="P39" s="41" t="s">
        <v>486</v>
      </c>
      <c r="Q39" s="16" t="s">
        <v>487</v>
      </c>
      <c r="R39" s="16" t="s">
        <v>488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3">
        <v>10.0</v>
      </c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ht="15.75" customHeight="1">
      <c r="A40" s="3">
        <f t="shared" si="1"/>
        <v>2</v>
      </c>
      <c r="B40" s="4" t="s">
        <v>489</v>
      </c>
      <c r="C40" s="2"/>
      <c r="D40" s="2"/>
      <c r="E40" s="12" t="s">
        <v>54</v>
      </c>
      <c r="F40" s="13" t="s">
        <v>490</v>
      </c>
      <c r="G40" s="14">
        <v>0.08</v>
      </c>
      <c r="H40" s="14">
        <f t="shared" si="3"/>
        <v>0.08</v>
      </c>
      <c r="I40" s="15"/>
      <c r="J40" s="2"/>
      <c r="K40" s="2"/>
      <c r="L40" s="2"/>
      <c r="M40" s="16" t="s">
        <v>491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3">
        <v>1.0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ht="15.75" customHeight="1">
      <c r="A41" s="3">
        <f t="shared" si="1"/>
        <v>17</v>
      </c>
      <c r="B41" s="4" t="s">
        <v>492</v>
      </c>
      <c r="D41" s="2"/>
      <c r="E41" s="12" t="s">
        <v>54</v>
      </c>
      <c r="F41" s="13" t="s">
        <v>493</v>
      </c>
      <c r="G41" s="14">
        <v>0.0248</v>
      </c>
      <c r="H41" s="14">
        <f t="shared" si="3"/>
        <v>0.62</v>
      </c>
      <c r="I41" s="15"/>
      <c r="K41" s="6"/>
      <c r="L41" s="6"/>
      <c r="M41" s="16" t="s">
        <v>494</v>
      </c>
      <c r="N41" s="16" t="s">
        <v>495</v>
      </c>
      <c r="O41" s="16" t="s">
        <v>496</v>
      </c>
      <c r="P41" s="16" t="s">
        <v>497</v>
      </c>
      <c r="Q41" s="16" t="s">
        <v>498</v>
      </c>
      <c r="R41" s="16" t="s">
        <v>499</v>
      </c>
      <c r="S41" s="39" t="s">
        <v>500</v>
      </c>
      <c r="T41" s="16" t="s">
        <v>501</v>
      </c>
      <c r="U41" s="16" t="s">
        <v>502</v>
      </c>
      <c r="V41" s="24" t="s">
        <v>503</v>
      </c>
      <c r="W41" s="24" t="s">
        <v>504</v>
      </c>
      <c r="X41" s="16" t="s">
        <v>505</v>
      </c>
      <c r="Y41" s="16" t="s">
        <v>506</v>
      </c>
      <c r="Z41" s="16" t="s">
        <v>507</v>
      </c>
      <c r="AA41" s="16" t="s">
        <v>508</v>
      </c>
      <c r="AB41" s="16" t="s">
        <v>509</v>
      </c>
      <c r="AZ41" s="3">
        <v>25.0</v>
      </c>
    </row>
    <row r="42" ht="15.75" customHeight="1">
      <c r="A42" s="4"/>
      <c r="B42" s="4"/>
      <c r="D42" s="2"/>
      <c r="E42" s="2"/>
      <c r="F42" s="2"/>
      <c r="G42" s="6"/>
      <c r="H42" s="6"/>
      <c r="I42" s="2"/>
      <c r="J42" s="2"/>
      <c r="K42" s="6"/>
      <c r="L42" s="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Z42" s="4"/>
    </row>
    <row r="43" ht="15.75" customHeight="1">
      <c r="A43" s="8" t="s">
        <v>510</v>
      </c>
      <c r="B43" s="8"/>
      <c r="C43" s="9"/>
      <c r="D43" s="9"/>
      <c r="E43" s="9"/>
      <c r="F43" s="9"/>
      <c r="G43" s="10"/>
      <c r="H43" s="10"/>
      <c r="I43" s="9"/>
      <c r="J43" s="9"/>
      <c r="K43" s="10"/>
      <c r="L43" s="1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8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</row>
    <row r="44" ht="15.75" customHeight="1">
      <c r="A44" s="42" t="s">
        <v>511</v>
      </c>
      <c r="B44" s="42"/>
      <c r="C44" s="43"/>
      <c r="D44" s="43"/>
      <c r="E44" s="43"/>
      <c r="F44" s="43"/>
      <c r="G44" s="44"/>
      <c r="H44" s="44"/>
      <c r="I44" s="43"/>
      <c r="J44" s="43"/>
      <c r="K44" s="44"/>
      <c r="L44" s="44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2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</row>
    <row r="45" ht="15.75" customHeight="1">
      <c r="A45" s="3">
        <f t="shared" ref="A45:A52" si="4">COUNTA(M45:BK45)</f>
        <v>8</v>
      </c>
      <c r="B45" s="40" t="s">
        <v>512</v>
      </c>
      <c r="C45" s="1" t="s">
        <v>513</v>
      </c>
      <c r="D45" s="2"/>
      <c r="E45" s="12" t="s">
        <v>54</v>
      </c>
      <c r="F45" s="13" t="s">
        <v>514</v>
      </c>
      <c r="G45" s="14">
        <v>0.147</v>
      </c>
      <c r="H45" s="14">
        <f t="shared" ref="H45:H52" si="5">AZ45*G45</f>
        <v>1.47</v>
      </c>
      <c r="I45" s="5" t="s">
        <v>7</v>
      </c>
      <c r="J45" s="7" t="s">
        <v>8</v>
      </c>
      <c r="K45" s="45">
        <v>0.095</v>
      </c>
      <c r="L45" s="45">
        <f t="shared" ref="L45:L52" si="6">AZ45*K45</f>
        <v>0.95</v>
      </c>
      <c r="M45" s="16" t="s">
        <v>515</v>
      </c>
      <c r="N45" s="16" t="s">
        <v>516</v>
      </c>
      <c r="O45" s="16" t="s">
        <v>517</v>
      </c>
      <c r="P45" s="16" t="s">
        <v>518</v>
      </c>
      <c r="Q45" s="16" t="s">
        <v>519</v>
      </c>
      <c r="R45" s="16" t="s">
        <v>520</v>
      </c>
      <c r="S45" s="16" t="s">
        <v>521</v>
      </c>
      <c r="AZ45" s="3">
        <v>10.0</v>
      </c>
    </row>
    <row r="46" ht="15.75" customHeight="1">
      <c r="A46" s="3">
        <f t="shared" si="4"/>
        <v>2</v>
      </c>
      <c r="B46" s="40" t="s">
        <v>522</v>
      </c>
      <c r="C46" s="2" t="s">
        <v>523</v>
      </c>
      <c r="D46" s="2"/>
      <c r="E46" s="12" t="s">
        <v>54</v>
      </c>
      <c r="F46" s="13" t="s">
        <v>524</v>
      </c>
      <c r="G46" s="14">
        <v>0.66</v>
      </c>
      <c r="H46" s="14">
        <f t="shared" si="5"/>
        <v>0.66</v>
      </c>
      <c r="I46" s="5" t="s">
        <v>7</v>
      </c>
      <c r="J46" s="7" t="s">
        <v>525</v>
      </c>
      <c r="K46" s="45">
        <v>0.595</v>
      </c>
      <c r="L46" s="45">
        <f t="shared" si="6"/>
        <v>0.595</v>
      </c>
      <c r="M46" s="16" t="s">
        <v>526</v>
      </c>
      <c r="AZ46" s="3">
        <v>1.0</v>
      </c>
    </row>
    <row r="47" ht="15.75" customHeight="1">
      <c r="A47" s="3">
        <f t="shared" si="4"/>
        <v>2</v>
      </c>
      <c r="B47" s="4" t="s">
        <v>527</v>
      </c>
      <c r="C47" s="2" t="s">
        <v>528</v>
      </c>
      <c r="D47" s="2"/>
      <c r="E47" s="12" t="s">
        <v>54</v>
      </c>
      <c r="F47" s="13" t="s">
        <v>529</v>
      </c>
      <c r="G47" s="14"/>
      <c r="H47" s="14">
        <f t="shared" si="5"/>
        <v>0</v>
      </c>
      <c r="I47" s="5" t="s">
        <v>7</v>
      </c>
      <c r="J47" s="7" t="s">
        <v>15</v>
      </c>
      <c r="K47" s="45"/>
      <c r="L47" s="45">
        <f t="shared" si="6"/>
        <v>0</v>
      </c>
      <c r="M47" s="16" t="s">
        <v>530</v>
      </c>
      <c r="AZ47" s="3">
        <v>0.0</v>
      </c>
    </row>
    <row r="48" ht="15.75" customHeight="1">
      <c r="A48" s="3">
        <f t="shared" si="4"/>
        <v>7</v>
      </c>
      <c r="B48" s="4" t="s">
        <v>527</v>
      </c>
      <c r="C48" s="2" t="s">
        <v>523</v>
      </c>
      <c r="D48" s="2"/>
      <c r="E48" s="12" t="s">
        <v>54</v>
      </c>
      <c r="F48" s="13" t="s">
        <v>529</v>
      </c>
      <c r="G48" s="14">
        <v>0.258</v>
      </c>
      <c r="H48" s="14">
        <f t="shared" si="5"/>
        <v>2.58</v>
      </c>
      <c r="I48" s="5" t="s">
        <v>7</v>
      </c>
      <c r="J48" s="7" t="s">
        <v>15</v>
      </c>
      <c r="K48" s="45">
        <v>0.176</v>
      </c>
      <c r="L48" s="45">
        <f t="shared" si="6"/>
        <v>1.76</v>
      </c>
      <c r="M48" s="16" t="s">
        <v>24</v>
      </c>
      <c r="N48" s="16" t="s">
        <v>53</v>
      </c>
      <c r="O48" s="16" t="s">
        <v>32</v>
      </c>
      <c r="P48" s="16" t="s">
        <v>531</v>
      </c>
      <c r="Q48" s="16" t="s">
        <v>532</v>
      </c>
      <c r="R48" s="16" t="s">
        <v>533</v>
      </c>
      <c r="AZ48" s="3">
        <v>10.0</v>
      </c>
    </row>
    <row r="49" ht="15.75" customHeight="1">
      <c r="A49" s="3">
        <f t="shared" si="4"/>
        <v>7</v>
      </c>
      <c r="B49" s="4" t="s">
        <v>534</v>
      </c>
      <c r="C49" s="2" t="s">
        <v>528</v>
      </c>
      <c r="D49" s="2"/>
      <c r="E49" s="12" t="s">
        <v>54</v>
      </c>
      <c r="F49" s="13" t="s">
        <v>535</v>
      </c>
      <c r="G49" s="14">
        <v>0.254</v>
      </c>
      <c r="H49" s="14">
        <f t="shared" si="5"/>
        <v>2.54</v>
      </c>
      <c r="I49" s="5" t="s">
        <v>7</v>
      </c>
      <c r="J49" s="7" t="s">
        <v>18</v>
      </c>
      <c r="K49" s="45">
        <v>0.173</v>
      </c>
      <c r="L49" s="45">
        <f t="shared" si="6"/>
        <v>1.73</v>
      </c>
      <c r="M49" s="16" t="s">
        <v>27</v>
      </c>
      <c r="N49" s="16" t="s">
        <v>536</v>
      </c>
      <c r="O49" s="16" t="s">
        <v>537</v>
      </c>
      <c r="P49" s="16" t="s">
        <v>538</v>
      </c>
      <c r="Q49" s="16" t="s">
        <v>539</v>
      </c>
      <c r="R49" s="16" t="s">
        <v>540</v>
      </c>
      <c r="AZ49" s="3">
        <v>10.0</v>
      </c>
    </row>
    <row r="50" ht="15.75" customHeight="1">
      <c r="A50" s="3">
        <f t="shared" si="4"/>
        <v>23</v>
      </c>
      <c r="B50" s="4" t="s">
        <v>541</v>
      </c>
      <c r="C50" s="2" t="s">
        <v>513</v>
      </c>
      <c r="D50" s="2"/>
      <c r="E50" s="12" t="s">
        <v>54</v>
      </c>
      <c r="F50" s="13" t="s">
        <v>542</v>
      </c>
      <c r="G50" s="14">
        <v>0.187</v>
      </c>
      <c r="H50" s="14">
        <f t="shared" si="5"/>
        <v>4.114</v>
      </c>
      <c r="I50" s="5" t="s">
        <v>7</v>
      </c>
      <c r="J50" s="7" t="s">
        <v>19</v>
      </c>
      <c r="K50" s="45">
        <v>0.127</v>
      </c>
      <c r="L50" s="45">
        <f t="shared" si="6"/>
        <v>2.794</v>
      </c>
      <c r="M50" s="16" t="s">
        <v>543</v>
      </c>
      <c r="N50" s="16" t="s">
        <v>21</v>
      </c>
      <c r="O50" s="16" t="s">
        <v>544</v>
      </c>
      <c r="P50" s="16" t="s">
        <v>545</v>
      </c>
      <c r="Q50" s="16" t="s">
        <v>546</v>
      </c>
      <c r="R50" s="16" t="s">
        <v>547</v>
      </c>
      <c r="S50" s="24" t="s">
        <v>548</v>
      </c>
      <c r="T50" s="24" t="s">
        <v>549</v>
      </c>
      <c r="U50" s="16" t="s">
        <v>550</v>
      </c>
      <c r="V50" s="16" t="s">
        <v>551</v>
      </c>
      <c r="W50" s="24" t="s">
        <v>552</v>
      </c>
      <c r="X50" s="16" t="s">
        <v>553</v>
      </c>
      <c r="Y50" s="16" t="s">
        <v>554</v>
      </c>
      <c r="Z50" s="24" t="s">
        <v>555</v>
      </c>
      <c r="AA50" s="16" t="s">
        <v>556</v>
      </c>
      <c r="AB50" s="24" t="s">
        <v>557</v>
      </c>
      <c r="AC50" s="16" t="s">
        <v>558</v>
      </c>
      <c r="AD50" s="16" t="s">
        <v>559</v>
      </c>
      <c r="AE50" s="16" t="s">
        <v>560</v>
      </c>
      <c r="AF50" s="16" t="s">
        <v>561</v>
      </c>
      <c r="AG50" s="16" t="s">
        <v>562</v>
      </c>
      <c r="AH50" s="16" t="s">
        <v>563</v>
      </c>
      <c r="AZ50" s="3">
        <v>22.0</v>
      </c>
    </row>
    <row r="51" ht="15.75" customHeight="1">
      <c r="A51" s="3">
        <f t="shared" si="4"/>
        <v>9</v>
      </c>
      <c r="B51" s="4" t="s">
        <v>564</v>
      </c>
      <c r="C51" s="2" t="s">
        <v>513</v>
      </c>
      <c r="D51" s="2"/>
      <c r="E51" s="12" t="s">
        <v>54</v>
      </c>
      <c r="F51" s="13" t="s">
        <v>565</v>
      </c>
      <c r="G51" s="14">
        <v>0.217</v>
      </c>
      <c r="H51" s="14">
        <f t="shared" si="5"/>
        <v>2.17</v>
      </c>
      <c r="I51" s="5" t="s">
        <v>7</v>
      </c>
      <c r="J51" s="7" t="s">
        <v>20</v>
      </c>
      <c r="K51" s="45">
        <v>0.148</v>
      </c>
      <c r="L51" s="45">
        <f t="shared" si="6"/>
        <v>1.48</v>
      </c>
      <c r="M51" s="24" t="s">
        <v>566</v>
      </c>
      <c r="N51" s="16" t="s">
        <v>567</v>
      </c>
      <c r="O51" s="39" t="s">
        <v>568</v>
      </c>
      <c r="P51" s="16" t="s">
        <v>569</v>
      </c>
      <c r="Q51" s="16" t="s">
        <v>570</v>
      </c>
      <c r="R51" s="16" t="s">
        <v>571</v>
      </c>
      <c r="S51" s="16" t="s">
        <v>572</v>
      </c>
      <c r="T51" s="16" t="s">
        <v>573</v>
      </c>
      <c r="AZ51" s="3">
        <v>10.0</v>
      </c>
    </row>
    <row r="52" ht="15.0" customHeight="1">
      <c r="A52" s="3">
        <f t="shared" si="4"/>
        <v>17</v>
      </c>
      <c r="B52" s="4" t="s">
        <v>574</v>
      </c>
      <c r="C52" s="2" t="s">
        <v>528</v>
      </c>
      <c r="D52" s="2"/>
      <c r="E52" s="12" t="s">
        <v>54</v>
      </c>
      <c r="F52" s="13" t="s">
        <v>575</v>
      </c>
      <c r="G52" s="14">
        <v>0.251</v>
      </c>
      <c r="H52" s="14">
        <f t="shared" si="5"/>
        <v>4.016</v>
      </c>
      <c r="I52" s="5" t="s">
        <v>7</v>
      </c>
      <c r="J52" s="7" t="s">
        <v>23</v>
      </c>
      <c r="K52" s="45">
        <v>0.184</v>
      </c>
      <c r="L52" s="45">
        <f t="shared" si="6"/>
        <v>2.944</v>
      </c>
      <c r="M52" s="16" t="s">
        <v>45</v>
      </c>
      <c r="N52" s="16" t="s">
        <v>576</v>
      </c>
      <c r="O52" s="16" t="s">
        <v>577</v>
      </c>
      <c r="P52" s="16" t="s">
        <v>578</v>
      </c>
      <c r="Q52" s="16" t="s">
        <v>579</v>
      </c>
      <c r="R52" s="16" t="s">
        <v>580</v>
      </c>
      <c r="S52" s="16" t="s">
        <v>581</v>
      </c>
      <c r="T52" s="16" t="s">
        <v>582</v>
      </c>
      <c r="U52" s="16" t="s">
        <v>583</v>
      </c>
      <c r="V52" s="16" t="s">
        <v>584</v>
      </c>
      <c r="W52" s="16" t="s">
        <v>585</v>
      </c>
      <c r="X52" s="16" t="s">
        <v>586</v>
      </c>
      <c r="Y52" s="16" t="s">
        <v>587</v>
      </c>
      <c r="Z52" s="16" t="s">
        <v>588</v>
      </c>
      <c r="AA52" s="16" t="s">
        <v>589</v>
      </c>
      <c r="AB52" s="16" t="s">
        <v>590</v>
      </c>
      <c r="AZ52" s="3">
        <v>16.0</v>
      </c>
    </row>
    <row r="53" ht="15.75" customHeight="1">
      <c r="A53" s="4"/>
      <c r="B53" s="4"/>
      <c r="C53" s="2"/>
      <c r="D53" s="2"/>
      <c r="E53" s="2"/>
      <c r="F53" s="2"/>
      <c r="G53" s="6"/>
      <c r="H53" s="6"/>
      <c r="I53" s="2"/>
      <c r="J53" s="2"/>
      <c r="K53" s="6"/>
      <c r="L53" s="6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4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ht="15.75" customHeight="1">
      <c r="A54" s="42" t="s">
        <v>591</v>
      </c>
      <c r="B54" s="42"/>
      <c r="C54" s="43"/>
      <c r="D54" s="43"/>
      <c r="E54" s="43"/>
      <c r="F54" s="43"/>
      <c r="G54" s="44"/>
      <c r="H54" s="44"/>
      <c r="I54" s="43"/>
      <c r="J54" s="43"/>
      <c r="K54" s="44"/>
      <c r="L54" s="44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2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</row>
    <row r="55" ht="15.75" customHeight="1">
      <c r="A55" s="3">
        <v>1.0</v>
      </c>
      <c r="B55" s="4" t="s">
        <v>592</v>
      </c>
      <c r="D55" s="2"/>
      <c r="E55" s="12" t="s">
        <v>54</v>
      </c>
      <c r="F55" s="12" t="s">
        <v>593</v>
      </c>
      <c r="G55" s="14">
        <v>0.31</v>
      </c>
      <c r="H55" s="14">
        <f t="shared" ref="H55:H56" si="7">AZ55*G55</f>
        <v>0.31</v>
      </c>
      <c r="I55" s="5" t="s">
        <v>7</v>
      </c>
      <c r="J55" s="7" t="s">
        <v>30</v>
      </c>
      <c r="K55" s="45">
        <v>0.306</v>
      </c>
      <c r="L55" s="45">
        <f t="shared" ref="L55:L56" si="8">AZ55*K55</f>
        <v>0.306</v>
      </c>
      <c r="M55" s="16" t="s">
        <v>594</v>
      </c>
      <c r="AZ55" s="3">
        <v>1.0</v>
      </c>
    </row>
    <row r="56" ht="15.75" customHeight="1">
      <c r="A56" s="3">
        <v>4.0</v>
      </c>
      <c r="B56" s="4" t="s">
        <v>0</v>
      </c>
      <c r="D56" s="2"/>
      <c r="E56" s="12" t="s">
        <v>54</v>
      </c>
      <c r="F56" s="12" t="s">
        <v>595</v>
      </c>
      <c r="G56" s="14">
        <v>0.27</v>
      </c>
      <c r="H56" s="14">
        <f t="shared" si="7"/>
        <v>1.08</v>
      </c>
      <c r="I56" s="5" t="s">
        <v>7</v>
      </c>
      <c r="J56" s="7" t="s">
        <v>44</v>
      </c>
      <c r="K56" s="45">
        <v>0.289</v>
      </c>
      <c r="L56" s="45">
        <f t="shared" si="8"/>
        <v>1.156</v>
      </c>
      <c r="M56" s="16" t="s">
        <v>596</v>
      </c>
      <c r="N56" s="16" t="s">
        <v>597</v>
      </c>
      <c r="O56" s="16" t="s">
        <v>598</v>
      </c>
      <c r="P56" s="16" t="s">
        <v>599</v>
      </c>
      <c r="AZ56" s="3">
        <v>4.0</v>
      </c>
    </row>
    <row r="57" ht="15.75" customHeight="1">
      <c r="A57" s="3">
        <v>3.0</v>
      </c>
      <c r="B57" s="4" t="s">
        <v>600</v>
      </c>
      <c r="C57" s="2"/>
      <c r="D57" s="2"/>
      <c r="E57" s="2"/>
      <c r="F57" s="2"/>
      <c r="G57" s="6"/>
      <c r="H57" s="6"/>
      <c r="I57" s="2"/>
      <c r="J57" s="2"/>
      <c r="K57" s="6"/>
      <c r="L57" s="6"/>
      <c r="M57" s="16" t="s">
        <v>601</v>
      </c>
      <c r="N57" s="16" t="s">
        <v>602</v>
      </c>
      <c r="O57" s="16" t="s">
        <v>603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3">
        <v>3.0</v>
      </c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ht="15.75" customHeight="1">
      <c r="A58" s="4"/>
      <c r="B58" s="4"/>
      <c r="C58" s="2"/>
      <c r="D58" s="2"/>
      <c r="E58" s="2"/>
      <c r="F58" s="2"/>
      <c r="G58" s="6"/>
      <c r="H58" s="6"/>
      <c r="I58" s="2"/>
      <c r="J58" s="2"/>
      <c r="K58" s="6"/>
      <c r="L58" s="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ht="15.75" customHeight="1">
      <c r="A59" s="42" t="s">
        <v>604</v>
      </c>
      <c r="B59" s="42"/>
      <c r="C59" s="43"/>
      <c r="D59" s="43"/>
      <c r="E59" s="43"/>
      <c r="F59" s="43"/>
      <c r="G59" s="44"/>
      <c r="H59" s="44"/>
      <c r="I59" s="43"/>
      <c r="J59" s="43"/>
      <c r="K59" s="44"/>
      <c r="L59" s="44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2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</row>
    <row r="60" ht="15.75" customHeight="1">
      <c r="A60" s="3">
        <f>COUNTA(M60:BK60)</f>
        <v>7</v>
      </c>
      <c r="B60" s="4" t="s">
        <v>600</v>
      </c>
      <c r="D60" s="2"/>
      <c r="E60" s="12" t="s">
        <v>54</v>
      </c>
      <c r="F60" s="13" t="s">
        <v>605</v>
      </c>
      <c r="G60" s="14">
        <v>0.182</v>
      </c>
      <c r="H60" s="14">
        <f t="shared" ref="H60:H76" si="9">AZ60*G60</f>
        <v>1.82</v>
      </c>
      <c r="I60" s="5" t="s">
        <v>7</v>
      </c>
      <c r="J60" s="7" t="s">
        <v>57</v>
      </c>
      <c r="K60" s="45">
        <v>0.131</v>
      </c>
      <c r="L60" s="45">
        <f t="shared" ref="L60:L61" si="10">AZ60*K60</f>
        <v>1.31</v>
      </c>
      <c r="M60" s="16" t="s">
        <v>28</v>
      </c>
      <c r="N60" s="24" t="s">
        <v>606</v>
      </c>
      <c r="O60" s="16" t="s">
        <v>607</v>
      </c>
      <c r="P60" s="16" t="s">
        <v>608</v>
      </c>
      <c r="Q60" s="24" t="s">
        <v>609</v>
      </c>
      <c r="R60" s="16" t="s">
        <v>610</v>
      </c>
      <c r="S60" s="16"/>
      <c r="AZ60" s="3">
        <v>10.0</v>
      </c>
    </row>
    <row r="61" ht="15.75" customHeight="1">
      <c r="A61" s="46">
        <v>1.0</v>
      </c>
      <c r="B61" s="40" t="s">
        <v>611</v>
      </c>
      <c r="D61" s="2"/>
      <c r="E61" s="12" t="s">
        <v>54</v>
      </c>
      <c r="F61" s="12" t="s">
        <v>612</v>
      </c>
      <c r="G61" s="14">
        <v>0.34</v>
      </c>
      <c r="H61" s="14">
        <f t="shared" si="9"/>
        <v>0.34</v>
      </c>
      <c r="I61" s="5" t="s">
        <v>7</v>
      </c>
      <c r="J61" s="7" t="s">
        <v>63</v>
      </c>
      <c r="K61" s="45">
        <v>0.255</v>
      </c>
      <c r="L61" s="45">
        <f t="shared" si="10"/>
        <v>0.255</v>
      </c>
      <c r="M61" s="16" t="s">
        <v>613</v>
      </c>
      <c r="AZ61" s="3">
        <v>1.0</v>
      </c>
    </row>
    <row r="62" ht="15.75" customHeight="1">
      <c r="A62" s="46">
        <v>2.0</v>
      </c>
      <c r="B62" s="4" t="s">
        <v>614</v>
      </c>
      <c r="D62" s="2"/>
      <c r="E62" s="12" t="s">
        <v>54</v>
      </c>
      <c r="F62" s="12" t="s">
        <v>615</v>
      </c>
      <c r="G62" s="14">
        <v>0.25</v>
      </c>
      <c r="H62" s="14">
        <f t="shared" si="9"/>
        <v>0.5</v>
      </c>
      <c r="I62" s="2"/>
      <c r="J62" s="47"/>
      <c r="K62" s="48"/>
      <c r="L62" s="48"/>
      <c r="M62" s="16" t="s">
        <v>616</v>
      </c>
      <c r="N62" s="16" t="s">
        <v>617</v>
      </c>
      <c r="AZ62" s="3">
        <v>2.0</v>
      </c>
    </row>
    <row r="63" ht="15.75" customHeight="1">
      <c r="A63" s="3">
        <f t="shared" ref="A63:A76" si="11">COUNTA(M63:BK63)</f>
        <v>11</v>
      </c>
      <c r="B63" s="4" t="s">
        <v>618</v>
      </c>
      <c r="D63" s="2"/>
      <c r="E63" s="12" t="s">
        <v>54</v>
      </c>
      <c r="F63" s="12" t="s">
        <v>619</v>
      </c>
      <c r="G63" s="14">
        <v>0.173</v>
      </c>
      <c r="H63" s="14">
        <f t="shared" si="9"/>
        <v>1.73</v>
      </c>
      <c r="I63" s="5" t="s">
        <v>7</v>
      </c>
      <c r="J63" s="7" t="s">
        <v>64</v>
      </c>
      <c r="K63" s="45">
        <v>0.123</v>
      </c>
      <c r="L63" s="45">
        <f t="shared" ref="L63:L70" si="12">AZ63*K63</f>
        <v>1.23</v>
      </c>
      <c r="M63" s="16" t="s">
        <v>620</v>
      </c>
      <c r="N63" s="16" t="s">
        <v>621</v>
      </c>
      <c r="O63" s="16" t="s">
        <v>622</v>
      </c>
      <c r="P63" s="24" t="s">
        <v>623</v>
      </c>
      <c r="Q63" s="24" t="s">
        <v>624</v>
      </c>
      <c r="R63" s="24" t="s">
        <v>625</v>
      </c>
      <c r="S63" s="24" t="s">
        <v>626</v>
      </c>
      <c r="T63" s="16" t="s">
        <v>627</v>
      </c>
      <c r="U63" s="24" t="s">
        <v>628</v>
      </c>
      <c r="V63" s="16" t="s">
        <v>629</v>
      </c>
      <c r="AZ63" s="3">
        <v>10.0</v>
      </c>
    </row>
    <row r="64" ht="15.75" customHeight="1">
      <c r="A64" s="3">
        <f t="shared" si="11"/>
        <v>6</v>
      </c>
      <c r="B64" s="4" t="s">
        <v>630</v>
      </c>
      <c r="D64" s="2"/>
      <c r="E64" s="12" t="s">
        <v>54</v>
      </c>
      <c r="F64" s="12" t="s">
        <v>631</v>
      </c>
      <c r="G64" s="14">
        <v>0.187</v>
      </c>
      <c r="H64" s="14">
        <f t="shared" si="9"/>
        <v>1.87</v>
      </c>
      <c r="I64" s="5" t="s">
        <v>7</v>
      </c>
      <c r="J64" s="7" t="s">
        <v>65</v>
      </c>
      <c r="K64" s="45">
        <v>0.133</v>
      </c>
      <c r="L64" s="45">
        <f t="shared" si="12"/>
        <v>1.33</v>
      </c>
      <c r="M64" s="16" t="s">
        <v>632</v>
      </c>
      <c r="N64" s="24" t="s">
        <v>633</v>
      </c>
      <c r="O64" s="16" t="s">
        <v>634</v>
      </c>
      <c r="P64" s="16" t="s">
        <v>635</v>
      </c>
      <c r="Q64" s="16" t="s">
        <v>636</v>
      </c>
      <c r="AZ64" s="3">
        <v>10.0</v>
      </c>
    </row>
    <row r="65" ht="15.75" customHeight="1">
      <c r="A65" s="3">
        <f t="shared" si="11"/>
        <v>2</v>
      </c>
      <c r="B65" s="4" t="s">
        <v>637</v>
      </c>
      <c r="D65" s="2"/>
      <c r="E65" s="12" t="s">
        <v>54</v>
      </c>
      <c r="F65" s="12" t="s">
        <v>638</v>
      </c>
      <c r="G65" s="14">
        <v>0.45</v>
      </c>
      <c r="H65" s="14">
        <f t="shared" si="9"/>
        <v>0.45</v>
      </c>
      <c r="I65" s="5" t="s">
        <v>7</v>
      </c>
      <c r="J65" s="7" t="s">
        <v>66</v>
      </c>
      <c r="K65" s="45">
        <v>0.459</v>
      </c>
      <c r="L65" s="45">
        <f t="shared" si="12"/>
        <v>0.459</v>
      </c>
      <c r="M65" s="16" t="s">
        <v>639</v>
      </c>
      <c r="AZ65" s="3">
        <v>1.0</v>
      </c>
    </row>
    <row r="66" ht="15.75" customHeight="1">
      <c r="A66" s="3">
        <f t="shared" si="11"/>
        <v>2</v>
      </c>
      <c r="B66" s="4" t="s">
        <v>640</v>
      </c>
      <c r="D66" s="2"/>
      <c r="E66" s="12" t="s">
        <v>54</v>
      </c>
      <c r="F66" s="12" t="s">
        <v>641</v>
      </c>
      <c r="G66" s="14">
        <v>0.34</v>
      </c>
      <c r="H66" s="14">
        <f t="shared" si="9"/>
        <v>0.68</v>
      </c>
      <c r="I66" s="5" t="s">
        <v>7</v>
      </c>
      <c r="J66" s="7" t="s">
        <v>69</v>
      </c>
      <c r="K66" s="45">
        <v>0.272</v>
      </c>
      <c r="L66" s="45">
        <f t="shared" si="12"/>
        <v>0.544</v>
      </c>
      <c r="M66" s="16" t="s">
        <v>642</v>
      </c>
      <c r="AZ66" s="3">
        <v>2.0</v>
      </c>
    </row>
    <row r="67" ht="15.75" customHeight="1">
      <c r="A67" s="3">
        <f t="shared" si="11"/>
        <v>4</v>
      </c>
      <c r="B67" s="4" t="s">
        <v>643</v>
      </c>
      <c r="D67" s="2"/>
      <c r="E67" s="12" t="s">
        <v>54</v>
      </c>
      <c r="F67" s="12" t="s">
        <v>644</v>
      </c>
      <c r="G67" s="14">
        <v>0.35</v>
      </c>
      <c r="H67" s="14">
        <f t="shared" si="9"/>
        <v>1.05</v>
      </c>
      <c r="I67" s="5" t="s">
        <v>7</v>
      </c>
      <c r="J67" s="7" t="s">
        <v>70</v>
      </c>
      <c r="K67" s="45">
        <v>0.264</v>
      </c>
      <c r="L67" s="45">
        <f t="shared" si="12"/>
        <v>0.792</v>
      </c>
      <c r="M67" s="16" t="s">
        <v>645</v>
      </c>
      <c r="N67" s="16" t="s">
        <v>646</v>
      </c>
      <c r="O67" s="16" t="s">
        <v>647</v>
      </c>
      <c r="AZ67" s="3">
        <v>3.0</v>
      </c>
    </row>
    <row r="68" ht="15.0" customHeight="1">
      <c r="A68" s="3">
        <f t="shared" si="11"/>
        <v>12</v>
      </c>
      <c r="B68" s="4" t="s">
        <v>648</v>
      </c>
      <c r="D68" s="2"/>
      <c r="E68" s="12" t="s">
        <v>54</v>
      </c>
      <c r="F68" s="13" t="s">
        <v>649</v>
      </c>
      <c r="G68" s="14">
        <v>0.182</v>
      </c>
      <c r="H68" s="14">
        <f t="shared" si="9"/>
        <v>2.002</v>
      </c>
      <c r="I68" s="5" t="s">
        <v>7</v>
      </c>
      <c r="J68" s="7" t="s">
        <v>71</v>
      </c>
      <c r="K68" s="45">
        <v>0.131</v>
      </c>
      <c r="L68" s="45">
        <f t="shared" si="12"/>
        <v>1.441</v>
      </c>
      <c r="M68" s="16" t="s">
        <v>650</v>
      </c>
      <c r="N68" s="16" t="s">
        <v>651</v>
      </c>
      <c r="O68" s="16" t="s">
        <v>59</v>
      </c>
      <c r="P68" s="16" t="s">
        <v>652</v>
      </c>
      <c r="Q68" s="49" t="s">
        <v>31</v>
      </c>
      <c r="R68" s="16" t="s">
        <v>653</v>
      </c>
      <c r="S68" s="24" t="s">
        <v>654</v>
      </c>
      <c r="T68" s="16" t="s">
        <v>655</v>
      </c>
      <c r="U68" s="16" t="s">
        <v>656</v>
      </c>
      <c r="V68" s="16" t="s">
        <v>657</v>
      </c>
      <c r="W68" s="16" t="s">
        <v>658</v>
      </c>
      <c r="AZ68" s="3">
        <v>11.0</v>
      </c>
    </row>
    <row r="69" ht="15.75" customHeight="1">
      <c r="A69" s="3">
        <f t="shared" si="11"/>
        <v>3</v>
      </c>
      <c r="B69" s="4" t="s">
        <v>659</v>
      </c>
      <c r="D69" s="2"/>
      <c r="E69" s="12" t="s">
        <v>54</v>
      </c>
      <c r="F69" s="12" t="s">
        <v>660</v>
      </c>
      <c r="G69" s="14">
        <v>0.45</v>
      </c>
      <c r="H69" s="14">
        <f t="shared" si="9"/>
        <v>0.9</v>
      </c>
      <c r="I69" s="5" t="s">
        <v>7</v>
      </c>
      <c r="J69" s="7" t="s">
        <v>73</v>
      </c>
      <c r="K69" s="45">
        <v>0.459</v>
      </c>
      <c r="L69" s="45">
        <f t="shared" si="12"/>
        <v>0.918</v>
      </c>
      <c r="M69" s="16" t="s">
        <v>661</v>
      </c>
      <c r="N69" s="16" t="s">
        <v>662</v>
      </c>
      <c r="AZ69" s="3">
        <v>2.0</v>
      </c>
    </row>
    <row r="70" ht="15.75" customHeight="1">
      <c r="A70" s="3">
        <f t="shared" si="11"/>
        <v>5</v>
      </c>
      <c r="B70" s="4" t="s">
        <v>663</v>
      </c>
      <c r="D70" s="2"/>
      <c r="E70" s="12" t="s">
        <v>54</v>
      </c>
      <c r="F70" s="12" t="s">
        <v>664</v>
      </c>
      <c r="G70" s="14">
        <v>0.36</v>
      </c>
      <c r="H70" s="14">
        <f t="shared" si="9"/>
        <v>1.44</v>
      </c>
      <c r="I70" s="5" t="s">
        <v>7</v>
      </c>
      <c r="J70" s="7" t="s">
        <v>75</v>
      </c>
      <c r="K70" s="45">
        <v>0.357</v>
      </c>
      <c r="L70" s="45">
        <f t="shared" si="12"/>
        <v>1.428</v>
      </c>
      <c r="M70" s="16" t="s">
        <v>665</v>
      </c>
      <c r="N70" s="16" t="s">
        <v>666</v>
      </c>
      <c r="O70" s="16" t="s">
        <v>667</v>
      </c>
      <c r="P70" s="16" t="s">
        <v>668</v>
      </c>
      <c r="AZ70" s="3">
        <v>4.0</v>
      </c>
    </row>
    <row r="71" ht="15.75" customHeight="1">
      <c r="A71" s="3">
        <f t="shared" si="11"/>
        <v>4</v>
      </c>
      <c r="B71" s="4" t="s">
        <v>669</v>
      </c>
      <c r="D71" s="2"/>
      <c r="E71" s="12" t="s">
        <v>54</v>
      </c>
      <c r="F71" s="12" t="s">
        <v>670</v>
      </c>
      <c r="G71" s="14">
        <v>0.27</v>
      </c>
      <c r="H71" s="14">
        <f t="shared" si="9"/>
        <v>0.81</v>
      </c>
      <c r="I71" s="2"/>
      <c r="J71" s="47"/>
      <c r="K71" s="48"/>
      <c r="L71" s="48"/>
      <c r="M71" s="16" t="s">
        <v>671</v>
      </c>
      <c r="N71" s="16" t="s">
        <v>672</v>
      </c>
      <c r="O71" s="16" t="s">
        <v>673</v>
      </c>
      <c r="AZ71" s="3">
        <v>3.0</v>
      </c>
    </row>
    <row r="72" ht="15.75" customHeight="1">
      <c r="A72" s="3">
        <f t="shared" si="11"/>
        <v>5</v>
      </c>
      <c r="B72" s="4" t="s">
        <v>674</v>
      </c>
      <c r="D72" s="2"/>
      <c r="E72" s="12" t="s">
        <v>54</v>
      </c>
      <c r="F72" s="12" t="s">
        <v>675</v>
      </c>
      <c r="G72" s="14">
        <v>0.25</v>
      </c>
      <c r="H72" s="14">
        <f t="shared" si="9"/>
        <v>1</v>
      </c>
      <c r="I72" s="2"/>
      <c r="J72" s="47"/>
      <c r="K72" s="48"/>
      <c r="L72" s="48"/>
      <c r="M72" s="16" t="s">
        <v>676</v>
      </c>
      <c r="N72" s="16" t="s">
        <v>677</v>
      </c>
      <c r="O72" s="16" t="s">
        <v>678</v>
      </c>
      <c r="P72" s="16" t="s">
        <v>679</v>
      </c>
      <c r="AZ72" s="3">
        <v>4.0</v>
      </c>
    </row>
    <row r="73" ht="15.75" customHeight="1">
      <c r="A73" s="3">
        <f t="shared" si="11"/>
        <v>3</v>
      </c>
      <c r="B73" s="4" t="s">
        <v>680</v>
      </c>
      <c r="D73" s="2"/>
      <c r="E73" s="12" t="s">
        <v>54</v>
      </c>
      <c r="F73" s="12" t="s">
        <v>681</v>
      </c>
      <c r="G73" s="14">
        <v>0.27</v>
      </c>
      <c r="H73" s="14">
        <f t="shared" si="9"/>
        <v>0.54</v>
      </c>
      <c r="I73" s="2"/>
      <c r="J73" s="47"/>
      <c r="K73" s="48"/>
      <c r="L73" s="48"/>
      <c r="M73" s="16" t="s">
        <v>26</v>
      </c>
      <c r="N73" s="16" t="s">
        <v>682</v>
      </c>
      <c r="AZ73" s="3">
        <v>2.0</v>
      </c>
    </row>
    <row r="74" ht="15.75" customHeight="1">
      <c r="A74" s="3">
        <f t="shared" si="11"/>
        <v>7</v>
      </c>
      <c r="B74" s="4" t="s">
        <v>683</v>
      </c>
      <c r="D74" s="2"/>
      <c r="E74" s="12" t="s">
        <v>54</v>
      </c>
      <c r="F74" s="12" t="s">
        <v>684</v>
      </c>
      <c r="G74" s="14">
        <v>0.276</v>
      </c>
      <c r="H74" s="14">
        <f t="shared" si="9"/>
        <v>2.76</v>
      </c>
      <c r="I74" s="5" t="s">
        <v>7</v>
      </c>
      <c r="J74" s="7" t="s">
        <v>76</v>
      </c>
      <c r="K74" s="45">
        <v>0.187</v>
      </c>
      <c r="L74" s="45" t="s">
        <v>685</v>
      </c>
      <c r="M74" s="16" t="s">
        <v>686</v>
      </c>
      <c r="N74" s="24" t="s">
        <v>687</v>
      </c>
      <c r="O74" s="16" t="s">
        <v>688</v>
      </c>
      <c r="P74" s="16" t="s">
        <v>689</v>
      </c>
      <c r="Q74" s="16" t="s">
        <v>690</v>
      </c>
      <c r="R74" s="16" t="s">
        <v>691</v>
      </c>
      <c r="AZ74" s="3">
        <v>10.0</v>
      </c>
    </row>
    <row r="75" ht="15.75" customHeight="1">
      <c r="A75" s="3">
        <f t="shared" si="11"/>
        <v>5</v>
      </c>
      <c r="B75" s="4" t="s">
        <v>692</v>
      </c>
      <c r="D75" s="2"/>
      <c r="E75" s="12" t="s">
        <v>54</v>
      </c>
      <c r="F75" s="12" t="s">
        <v>693</v>
      </c>
      <c r="G75" s="14">
        <v>0.56</v>
      </c>
      <c r="H75" s="14">
        <f t="shared" si="9"/>
        <v>2.24</v>
      </c>
      <c r="I75" s="5" t="s">
        <v>7</v>
      </c>
      <c r="J75" s="7" t="s">
        <v>79</v>
      </c>
      <c r="K75" s="45">
        <v>0.57</v>
      </c>
      <c r="L75" s="45">
        <f t="shared" ref="L75:L76" si="13">AZ75*K75</f>
        <v>2.28</v>
      </c>
      <c r="M75" s="16" t="s">
        <v>694</v>
      </c>
      <c r="N75" s="16" t="s">
        <v>695</v>
      </c>
      <c r="O75" s="16" t="s">
        <v>696</v>
      </c>
      <c r="P75" s="16" t="s">
        <v>697</v>
      </c>
      <c r="AZ75" s="3">
        <v>4.0</v>
      </c>
    </row>
    <row r="76" ht="15.75" customHeight="1">
      <c r="A76" s="3">
        <f t="shared" si="11"/>
        <v>4</v>
      </c>
      <c r="B76" s="4" t="s">
        <v>698</v>
      </c>
      <c r="D76" s="2"/>
      <c r="E76" s="12" t="s">
        <v>54</v>
      </c>
      <c r="F76" s="13" t="s">
        <v>699</v>
      </c>
      <c r="G76" s="14">
        <v>0.35</v>
      </c>
      <c r="H76" s="14">
        <f t="shared" si="9"/>
        <v>1.05</v>
      </c>
      <c r="I76" s="5" t="s">
        <v>7</v>
      </c>
      <c r="J76" s="7" t="s">
        <v>82</v>
      </c>
      <c r="K76" s="45">
        <v>0.357</v>
      </c>
      <c r="L76" s="45">
        <f t="shared" si="13"/>
        <v>1.071</v>
      </c>
      <c r="M76" s="16" t="s">
        <v>22</v>
      </c>
      <c r="N76" s="16" t="s">
        <v>700</v>
      </c>
      <c r="O76" s="16" t="s">
        <v>701</v>
      </c>
      <c r="AZ76" s="3">
        <v>3.0</v>
      </c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3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ht="15.75" customHeight="1">
      <c r="A78" s="42" t="s">
        <v>702</v>
      </c>
      <c r="B78" s="42"/>
      <c r="C78" s="43"/>
      <c r="D78" s="43"/>
      <c r="E78" s="43"/>
      <c r="F78" s="43"/>
      <c r="G78" s="44"/>
      <c r="H78" s="44"/>
      <c r="I78" s="43"/>
      <c r="J78" s="43"/>
      <c r="K78" s="44"/>
      <c r="L78" s="44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2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</row>
    <row r="79" ht="15.75" customHeight="1">
      <c r="A79" s="3">
        <f>COUNTA(M79:BK79)</f>
        <v>3</v>
      </c>
      <c r="B79" s="4" t="s">
        <v>600</v>
      </c>
      <c r="C79" s="2"/>
      <c r="D79" s="2"/>
      <c r="E79" s="2"/>
      <c r="F79" s="2"/>
      <c r="G79" s="6"/>
      <c r="H79" s="6"/>
      <c r="I79" s="2"/>
      <c r="J79" s="2"/>
      <c r="K79" s="6"/>
      <c r="L79" s="6"/>
      <c r="M79" s="38" t="s">
        <v>601</v>
      </c>
      <c r="N79" s="38" t="s">
        <v>602</v>
      </c>
      <c r="O79" s="38" t="s">
        <v>603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ht="15.75" customHeight="1">
      <c r="A80" s="4"/>
      <c r="B80" s="4"/>
      <c r="C80" s="2"/>
      <c r="D80" s="2"/>
      <c r="E80" s="2"/>
      <c r="F80" s="2"/>
      <c r="G80" s="6"/>
      <c r="H80" s="6"/>
      <c r="I80" s="2"/>
      <c r="J80" s="2"/>
      <c r="K80" s="6"/>
      <c r="L80" s="6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4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ht="15.75" customHeight="1">
      <c r="A81" s="4"/>
      <c r="B81" s="4"/>
      <c r="C81" s="2"/>
      <c r="D81" s="2"/>
      <c r="E81" s="2"/>
      <c r="F81" s="2"/>
      <c r="G81" s="6"/>
      <c r="H81" s="6"/>
      <c r="I81" s="2"/>
      <c r="J81" s="2"/>
      <c r="K81" s="6"/>
      <c r="L81" s="6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4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ht="15.75" customHeight="1">
      <c r="A82" s="8" t="s">
        <v>703</v>
      </c>
      <c r="B82" s="8"/>
      <c r="C82" s="9"/>
      <c r="D82" s="9"/>
      <c r="E82" s="9"/>
      <c r="F82" s="9"/>
      <c r="G82" s="10"/>
      <c r="H82" s="10"/>
      <c r="I82" s="9"/>
      <c r="J82" s="9"/>
      <c r="K82" s="10"/>
      <c r="L82" s="10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8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</row>
    <row r="83" ht="15.75" customHeight="1">
      <c r="A83" s="42" t="s">
        <v>704</v>
      </c>
      <c r="B83" s="42"/>
      <c r="C83" s="43"/>
      <c r="D83" s="43"/>
      <c r="E83" s="43"/>
      <c r="F83" s="43"/>
      <c r="G83" s="44"/>
      <c r="H83" s="44"/>
      <c r="I83" s="43"/>
      <c r="J83" s="43"/>
      <c r="K83" s="44"/>
      <c r="L83" s="44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2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</row>
    <row r="84" ht="15.75" customHeight="1">
      <c r="A84" s="3">
        <f>COUNTA(M84:BO84)</f>
        <v>54</v>
      </c>
      <c r="B84" s="4" t="s">
        <v>705</v>
      </c>
      <c r="D84" s="50" t="s">
        <v>706</v>
      </c>
      <c r="E84" s="2"/>
      <c r="F84" s="2"/>
      <c r="G84" s="6"/>
      <c r="H84" s="6"/>
      <c r="I84" s="5" t="s">
        <v>7</v>
      </c>
      <c r="J84" s="7" t="s">
        <v>86</v>
      </c>
      <c r="K84" s="45">
        <v>0.019</v>
      </c>
      <c r="L84" s="45">
        <f>AZ84*K84</f>
        <v>1.007</v>
      </c>
      <c r="M84" s="16" t="s">
        <v>707</v>
      </c>
      <c r="N84" s="16" t="s">
        <v>708</v>
      </c>
      <c r="O84" s="16" t="s">
        <v>709</v>
      </c>
      <c r="P84" s="16" t="s">
        <v>710</v>
      </c>
      <c r="Q84" s="16" t="s">
        <v>711</v>
      </c>
      <c r="R84" s="16" t="s">
        <v>712</v>
      </c>
      <c r="S84" s="16" t="s">
        <v>713</v>
      </c>
      <c r="T84" s="16" t="s">
        <v>714</v>
      </c>
      <c r="U84" s="16" t="s">
        <v>715</v>
      </c>
      <c r="V84" s="16" t="s">
        <v>716</v>
      </c>
      <c r="W84" s="16" t="s">
        <v>717</v>
      </c>
      <c r="X84" s="16" t="s">
        <v>718</v>
      </c>
      <c r="Y84" s="16" t="s">
        <v>719</v>
      </c>
      <c r="Z84" s="16" t="s">
        <v>720</v>
      </c>
      <c r="AA84" s="16" t="s">
        <v>721</v>
      </c>
      <c r="AB84" s="16" t="s">
        <v>722</v>
      </c>
      <c r="AC84" s="16" t="s">
        <v>723</v>
      </c>
      <c r="AD84" s="16" t="s">
        <v>724</v>
      </c>
      <c r="AE84" s="16" t="s">
        <v>725</v>
      </c>
      <c r="AF84" s="16" t="s">
        <v>726</v>
      </c>
      <c r="AG84" s="16" t="s">
        <v>727</v>
      </c>
      <c r="AH84" s="16" t="s">
        <v>728</v>
      </c>
      <c r="AI84" s="16" t="s">
        <v>729</v>
      </c>
      <c r="AJ84" s="16" t="s">
        <v>730</v>
      </c>
      <c r="AK84" s="16" t="s">
        <v>731</v>
      </c>
      <c r="AL84" s="16" t="s">
        <v>732</v>
      </c>
      <c r="AM84" s="16" t="s">
        <v>733</v>
      </c>
      <c r="AN84" s="24" t="s">
        <v>734</v>
      </c>
      <c r="AO84" s="24" t="s">
        <v>735</v>
      </c>
      <c r="AP84" s="16" t="s">
        <v>736</v>
      </c>
      <c r="AQ84" s="16" t="s">
        <v>737</v>
      </c>
      <c r="AR84" s="16" t="s">
        <v>738</v>
      </c>
      <c r="AS84" s="16" t="s">
        <v>739</v>
      </c>
      <c r="AT84" s="24" t="s">
        <v>740</v>
      </c>
      <c r="AU84" s="24" t="s">
        <v>741</v>
      </c>
      <c r="AV84" s="16" t="s">
        <v>742</v>
      </c>
      <c r="AW84" s="16" t="s">
        <v>743</v>
      </c>
      <c r="AX84" s="16" t="s">
        <v>744</v>
      </c>
      <c r="AY84" s="16" t="s">
        <v>745</v>
      </c>
      <c r="AZ84" s="3">
        <v>53.0</v>
      </c>
      <c r="BA84" s="16" t="s">
        <v>746</v>
      </c>
      <c r="BB84" s="16" t="s">
        <v>747</v>
      </c>
      <c r="BC84" s="16" t="s">
        <v>748</v>
      </c>
      <c r="BD84" s="16" t="s">
        <v>749</v>
      </c>
      <c r="BE84" s="16" t="s">
        <v>750</v>
      </c>
      <c r="BF84" s="16" t="s">
        <v>751</v>
      </c>
      <c r="BG84" s="16" t="s">
        <v>752</v>
      </c>
      <c r="BH84" s="16" t="s">
        <v>753</v>
      </c>
      <c r="BI84" s="16" t="s">
        <v>754</v>
      </c>
      <c r="BJ84" s="16" t="s">
        <v>755</v>
      </c>
      <c r="BK84" s="16" t="s">
        <v>756</v>
      </c>
      <c r="BL84" s="16" t="s">
        <v>757</v>
      </c>
      <c r="BM84" s="16" t="s">
        <v>758</v>
      </c>
      <c r="BN84" s="16" t="s">
        <v>759</v>
      </c>
    </row>
    <row r="85" ht="15.75" customHeight="1">
      <c r="A85" s="3" t="s">
        <v>760</v>
      </c>
      <c r="B85" s="4" t="s">
        <v>761</v>
      </c>
      <c r="D85" s="2"/>
      <c r="E85" s="2"/>
      <c r="F85" s="2"/>
      <c r="G85" s="6"/>
      <c r="H85" s="6"/>
      <c r="I85" s="2"/>
      <c r="K85" s="6"/>
      <c r="L85" s="6"/>
      <c r="AZ85" s="3"/>
    </row>
    <row r="86" ht="15.75" customHeight="1">
      <c r="A86" s="4"/>
      <c r="B86" s="4"/>
      <c r="D86" s="2"/>
      <c r="F86" s="2"/>
      <c r="G86" s="6"/>
      <c r="H86" s="6"/>
      <c r="I86" s="2"/>
      <c r="K86" s="6"/>
      <c r="L86" s="6"/>
      <c r="AZ86" s="4"/>
    </row>
    <row r="87" ht="15.75" customHeight="1">
      <c r="A87" s="42" t="s">
        <v>762</v>
      </c>
      <c r="B87" s="42"/>
      <c r="C87" s="43"/>
      <c r="D87" s="43"/>
      <c r="E87" s="43"/>
      <c r="F87" s="43"/>
      <c r="G87" s="44"/>
      <c r="H87" s="44"/>
      <c r="I87" s="43"/>
      <c r="J87" s="43"/>
      <c r="K87" s="44"/>
      <c r="L87" s="44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2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</row>
    <row r="88" ht="15.75" customHeight="1">
      <c r="A88" s="3">
        <f>COUNTA(M88:BO88)</f>
        <v>2</v>
      </c>
      <c r="B88" s="40" t="s">
        <v>763</v>
      </c>
      <c r="D88" s="50" t="s">
        <v>764</v>
      </c>
      <c r="E88" s="11" t="s">
        <v>765</v>
      </c>
      <c r="F88" s="51" t="s">
        <v>766</v>
      </c>
      <c r="G88" s="52"/>
      <c r="H88" s="52"/>
      <c r="I88" s="2"/>
      <c r="J88" s="2"/>
      <c r="K88" s="48"/>
      <c r="L88" s="48"/>
      <c r="M88" s="16" t="s">
        <v>767</v>
      </c>
      <c r="AZ88" s="3">
        <v>1.0</v>
      </c>
    </row>
    <row r="89" ht="15.75" customHeight="1">
      <c r="A89" s="4"/>
      <c r="B89" s="4"/>
      <c r="C89" s="2"/>
      <c r="D89" s="2"/>
      <c r="E89" s="2"/>
      <c r="F89" s="2"/>
      <c r="G89" s="6"/>
      <c r="H89" s="6"/>
      <c r="I89" s="2"/>
      <c r="J89" s="2"/>
      <c r="K89" s="6"/>
      <c r="L89" s="6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4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ht="15.75" customHeight="1">
      <c r="A90" s="42" t="s">
        <v>768</v>
      </c>
      <c r="B90" s="42"/>
      <c r="C90" s="43"/>
      <c r="D90" s="43"/>
      <c r="E90" s="43"/>
      <c r="F90" s="43"/>
      <c r="G90" s="44"/>
      <c r="H90" s="44"/>
      <c r="I90" s="43"/>
      <c r="J90" s="43"/>
      <c r="K90" s="44"/>
      <c r="L90" s="44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2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</row>
    <row r="91" ht="15.75" customHeight="1">
      <c r="A91" s="3">
        <f t="shared" ref="A91:A92" si="14">COUNTA(M91:BO91)</f>
        <v>2</v>
      </c>
      <c r="B91" s="40" t="s">
        <v>769</v>
      </c>
      <c r="D91" s="2" t="s">
        <v>770</v>
      </c>
      <c r="E91" s="2"/>
      <c r="F91" s="2"/>
      <c r="G91" s="6"/>
      <c r="H91" s="6"/>
      <c r="I91" s="5" t="s">
        <v>7</v>
      </c>
      <c r="J91" s="7" t="s">
        <v>95</v>
      </c>
      <c r="K91" s="45">
        <v>0.17</v>
      </c>
      <c r="L91" s="45">
        <f t="shared" ref="L91:L92" si="15">AZ91*K91</f>
        <v>0.17</v>
      </c>
      <c r="M91" s="16" t="s">
        <v>771</v>
      </c>
      <c r="AZ91" s="3">
        <v>1.0</v>
      </c>
    </row>
    <row r="92" ht="15.75" customHeight="1">
      <c r="A92" s="3">
        <f t="shared" si="14"/>
        <v>2</v>
      </c>
      <c r="B92" s="40" t="s">
        <v>772</v>
      </c>
      <c r="C92" s="2"/>
      <c r="D92" s="2" t="s">
        <v>773</v>
      </c>
      <c r="E92" s="2"/>
      <c r="F92" s="2"/>
      <c r="G92" s="6"/>
      <c r="H92" s="6"/>
      <c r="I92" s="5" t="s">
        <v>7</v>
      </c>
      <c r="J92" s="7" t="s">
        <v>105</v>
      </c>
      <c r="K92" s="45">
        <v>0.17</v>
      </c>
      <c r="L92" s="45">
        <f t="shared" si="15"/>
        <v>0.17</v>
      </c>
      <c r="M92" s="16" t="s">
        <v>774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3">
        <v>1.0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ht="15.75" customHeight="1">
      <c r="A93" s="4"/>
      <c r="B93" s="4"/>
      <c r="C93" s="2"/>
      <c r="D93" s="2"/>
      <c r="E93" s="2"/>
      <c r="F93" s="2"/>
      <c r="G93" s="6"/>
      <c r="H93" s="6"/>
      <c r="I93" s="2"/>
      <c r="J93" s="2"/>
      <c r="K93" s="6"/>
      <c r="L93" s="6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4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ht="15.75" customHeight="1">
      <c r="A94" s="42" t="s">
        <v>775</v>
      </c>
      <c r="B94" s="42"/>
      <c r="C94" s="43"/>
      <c r="D94" s="43"/>
      <c r="E94" s="43"/>
      <c r="F94" s="43"/>
      <c r="G94" s="44"/>
      <c r="H94" s="44"/>
      <c r="I94" s="43"/>
      <c r="J94" s="43"/>
      <c r="K94" s="44"/>
      <c r="L94" s="44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2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</row>
    <row r="95" ht="15.75" customHeight="1">
      <c r="A95" s="3">
        <f>COUNTA(M95:BO95)</f>
        <v>5</v>
      </c>
      <c r="B95" s="53" t="s">
        <v>776</v>
      </c>
      <c r="D95" s="2" t="s">
        <v>777</v>
      </c>
      <c r="E95" s="12" t="s">
        <v>54</v>
      </c>
      <c r="F95" s="13" t="s">
        <v>778</v>
      </c>
      <c r="G95" s="14">
        <v>0.16</v>
      </c>
      <c r="H95" s="14">
        <f>AZ95*G95</f>
        <v>0.64</v>
      </c>
      <c r="I95" s="5" t="s">
        <v>7</v>
      </c>
      <c r="J95" s="7" t="s">
        <v>113</v>
      </c>
      <c r="K95" s="45">
        <v>0.153</v>
      </c>
      <c r="L95" s="45">
        <f>AZ95*K95</f>
        <v>0.612</v>
      </c>
      <c r="M95" s="16" t="s">
        <v>779</v>
      </c>
      <c r="N95" s="16" t="s">
        <v>780</v>
      </c>
      <c r="O95" s="16" t="s">
        <v>781</v>
      </c>
      <c r="P95" s="16" t="s">
        <v>782</v>
      </c>
      <c r="AZ95" s="3">
        <v>4.0</v>
      </c>
    </row>
    <row r="96" ht="15.75" customHeight="1">
      <c r="A96" s="4"/>
      <c r="B96" s="4"/>
      <c r="D96" s="2"/>
      <c r="F96" s="2"/>
      <c r="G96" s="6"/>
      <c r="H96" s="6"/>
      <c r="I96" s="2"/>
      <c r="J96" s="2"/>
      <c r="K96" s="6"/>
      <c r="L96" s="6"/>
      <c r="AZ96" s="4"/>
    </row>
    <row r="97" ht="15.75" customHeight="1">
      <c r="A97" s="42" t="s">
        <v>783</v>
      </c>
      <c r="B97" s="42"/>
      <c r="C97" s="43"/>
      <c r="D97" s="43"/>
      <c r="E97" s="43"/>
      <c r="F97" s="43"/>
      <c r="G97" s="44"/>
      <c r="H97" s="44"/>
      <c r="I97" s="43"/>
      <c r="J97" s="43"/>
      <c r="K97" s="44"/>
      <c r="L97" s="44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2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</row>
    <row r="98" ht="15.75" customHeight="1">
      <c r="A98" s="3">
        <f>COUNTA(M98:BO98)</f>
        <v>20</v>
      </c>
      <c r="B98" s="4" t="s">
        <v>784</v>
      </c>
      <c r="D98" s="2" t="s">
        <v>785</v>
      </c>
      <c r="E98" s="12" t="s">
        <v>54</v>
      </c>
      <c r="F98" s="13" t="s">
        <v>786</v>
      </c>
      <c r="G98" s="14">
        <v>0.276</v>
      </c>
      <c r="H98" s="14">
        <f>AZ98*G98</f>
        <v>5.244</v>
      </c>
      <c r="I98" s="5" t="s">
        <v>7</v>
      </c>
      <c r="J98" s="5" t="s">
        <v>116</v>
      </c>
      <c r="K98" s="54">
        <v>0.272</v>
      </c>
      <c r="L98" s="45">
        <f>AZ98*K98</f>
        <v>5.168</v>
      </c>
      <c r="M98" s="16" t="s">
        <v>787</v>
      </c>
      <c r="N98" s="16" t="s">
        <v>788</v>
      </c>
      <c r="O98" s="16" t="s">
        <v>789</v>
      </c>
      <c r="P98" s="16" t="s">
        <v>790</v>
      </c>
      <c r="Q98" s="16" t="s">
        <v>791</v>
      </c>
      <c r="R98" s="16" t="s">
        <v>792</v>
      </c>
      <c r="S98" s="16" t="s">
        <v>793</v>
      </c>
      <c r="T98" s="16" t="s">
        <v>794</v>
      </c>
      <c r="U98" s="16" t="s">
        <v>795</v>
      </c>
      <c r="V98" s="16" t="s">
        <v>796</v>
      </c>
      <c r="W98" s="16" t="s">
        <v>797</v>
      </c>
      <c r="X98" s="16" t="s">
        <v>798</v>
      </c>
      <c r="Y98" s="16" t="s">
        <v>799</v>
      </c>
      <c r="Z98" s="16" t="s">
        <v>800</v>
      </c>
      <c r="AA98" s="16" t="s">
        <v>801</v>
      </c>
      <c r="AB98" s="16" t="s">
        <v>802</v>
      </c>
      <c r="AC98" s="16" t="s">
        <v>803</v>
      </c>
      <c r="AD98" s="16" t="s">
        <v>804</v>
      </c>
      <c r="AE98" s="16" t="s">
        <v>805</v>
      </c>
      <c r="AZ98" s="3">
        <v>19.0</v>
      </c>
    </row>
    <row r="99" ht="15.75" customHeight="1">
      <c r="A99" s="4"/>
      <c r="B99" s="4"/>
      <c r="D99" s="2"/>
      <c r="F99" s="2"/>
      <c r="G99" s="6"/>
      <c r="H99" s="6"/>
      <c r="I99" s="2"/>
      <c r="J99" s="2"/>
      <c r="K99" s="6"/>
      <c r="L99" s="6"/>
      <c r="AZ99" s="4"/>
    </row>
    <row r="100" ht="15.75" customHeight="1">
      <c r="A100" s="8" t="s">
        <v>806</v>
      </c>
      <c r="B100" s="8"/>
      <c r="C100" s="9"/>
      <c r="D100" s="9"/>
      <c r="E100" s="9"/>
      <c r="F100" s="9"/>
      <c r="G100" s="10"/>
      <c r="H100" s="10"/>
      <c r="I100" s="9"/>
      <c r="J100" s="9"/>
      <c r="K100" s="10"/>
      <c r="L100" s="10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8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</row>
    <row r="101" ht="15.75" customHeight="1">
      <c r="A101" s="3">
        <f t="shared" ref="A101:A110" si="16">COUNTA(M101:BO101)</f>
        <v>2</v>
      </c>
      <c r="B101" s="40" t="s">
        <v>807</v>
      </c>
      <c r="D101" s="2" t="s">
        <v>808</v>
      </c>
      <c r="E101" s="12" t="s">
        <v>54</v>
      </c>
      <c r="F101" s="13" t="s">
        <v>809</v>
      </c>
      <c r="G101" s="14">
        <v>0.41</v>
      </c>
      <c r="H101" s="14">
        <f t="shared" ref="H101:H103" si="17">AZ101*G101</f>
        <v>0.41</v>
      </c>
      <c r="I101" s="5" t="s">
        <v>7</v>
      </c>
      <c r="J101" s="7" t="s">
        <v>118</v>
      </c>
      <c r="K101" s="45">
        <v>0.425</v>
      </c>
      <c r="L101" s="45">
        <f t="shared" ref="L101:L106" si="18">AZ101*K101</f>
        <v>0.425</v>
      </c>
      <c r="M101" s="2" t="s">
        <v>810</v>
      </c>
      <c r="AZ101" s="3">
        <v>1.0</v>
      </c>
    </row>
    <row r="102" ht="15.75" customHeight="1">
      <c r="A102" s="3">
        <f t="shared" si="16"/>
        <v>2</v>
      </c>
      <c r="B102" s="4" t="s">
        <v>811</v>
      </c>
      <c r="D102" s="2" t="s">
        <v>812</v>
      </c>
      <c r="E102" s="12" t="s">
        <v>54</v>
      </c>
      <c r="F102" s="13" t="s">
        <v>813</v>
      </c>
      <c r="G102" s="14">
        <v>0.4</v>
      </c>
      <c r="H102" s="14">
        <f t="shared" si="17"/>
        <v>0.4</v>
      </c>
      <c r="I102" s="5" t="s">
        <v>7</v>
      </c>
      <c r="J102" s="7" t="s">
        <v>121</v>
      </c>
      <c r="K102" s="45">
        <v>0.4</v>
      </c>
      <c r="L102" s="45">
        <f t="shared" si="18"/>
        <v>0.4</v>
      </c>
      <c r="M102" s="16" t="s">
        <v>42</v>
      </c>
      <c r="AZ102" s="3">
        <v>1.0</v>
      </c>
    </row>
    <row r="103" ht="15.75" customHeight="1">
      <c r="A103" s="3">
        <f t="shared" si="16"/>
        <v>2</v>
      </c>
      <c r="B103" s="4" t="s">
        <v>814</v>
      </c>
      <c r="D103" s="2" t="s">
        <v>815</v>
      </c>
      <c r="E103" s="12" t="s">
        <v>54</v>
      </c>
      <c r="F103" s="13" t="s">
        <v>816</v>
      </c>
      <c r="G103" s="14">
        <v>0.4</v>
      </c>
      <c r="H103" s="14">
        <f t="shared" si="17"/>
        <v>0.4</v>
      </c>
      <c r="I103" s="5" t="s">
        <v>7</v>
      </c>
      <c r="J103" s="7" t="s">
        <v>123</v>
      </c>
      <c r="K103" s="45">
        <v>0.4</v>
      </c>
      <c r="L103" s="45">
        <f t="shared" si="18"/>
        <v>0.4</v>
      </c>
      <c r="M103" s="16" t="s">
        <v>43</v>
      </c>
      <c r="AZ103" s="3">
        <v>1.0</v>
      </c>
    </row>
    <row r="104" ht="15.75" customHeight="1">
      <c r="A104" s="3">
        <f t="shared" si="16"/>
        <v>3</v>
      </c>
      <c r="B104" s="4" t="s">
        <v>817</v>
      </c>
      <c r="D104" s="55" t="s">
        <v>818</v>
      </c>
      <c r="E104" s="2"/>
      <c r="F104" s="2"/>
      <c r="G104" s="6"/>
      <c r="H104" s="6"/>
      <c r="I104" s="5" t="s">
        <v>7</v>
      </c>
      <c r="J104" s="7" t="s">
        <v>126</v>
      </c>
      <c r="K104" s="45">
        <v>0.681</v>
      </c>
      <c r="L104" s="45">
        <f t="shared" si="18"/>
        <v>6.81</v>
      </c>
      <c r="M104" s="16" t="s">
        <v>819</v>
      </c>
      <c r="N104" s="16" t="s">
        <v>820</v>
      </c>
      <c r="AZ104" s="3">
        <v>10.0</v>
      </c>
    </row>
    <row r="105" ht="15.75" customHeight="1">
      <c r="A105" s="3">
        <f t="shared" si="16"/>
        <v>3</v>
      </c>
      <c r="B105" s="40" t="s">
        <v>821</v>
      </c>
      <c r="D105" s="2" t="s">
        <v>822</v>
      </c>
      <c r="E105" s="12" t="s">
        <v>54</v>
      </c>
      <c r="F105" s="13" t="s">
        <v>823</v>
      </c>
      <c r="G105" s="14">
        <v>0.32</v>
      </c>
      <c r="H105" s="14">
        <f>AZ105*G105</f>
        <v>0.32</v>
      </c>
      <c r="I105" s="5" t="s">
        <v>7</v>
      </c>
      <c r="J105" s="7" t="s">
        <v>129</v>
      </c>
      <c r="K105" s="45">
        <v>0.332</v>
      </c>
      <c r="L105" s="45">
        <f t="shared" si="18"/>
        <v>0.332</v>
      </c>
      <c r="M105" s="2" t="s">
        <v>824</v>
      </c>
      <c r="N105" s="2" t="s">
        <v>825</v>
      </c>
      <c r="AZ105" s="3">
        <v>1.0</v>
      </c>
    </row>
    <row r="106" ht="15.75" customHeight="1">
      <c r="A106" s="3">
        <f t="shared" si="16"/>
        <v>5</v>
      </c>
      <c r="B106" s="40" t="s">
        <v>826</v>
      </c>
      <c r="D106" s="2" t="s">
        <v>827</v>
      </c>
      <c r="E106" s="2"/>
      <c r="F106" s="2"/>
      <c r="G106" s="6"/>
      <c r="H106" s="6"/>
      <c r="I106" s="5" t="s">
        <v>7</v>
      </c>
      <c r="J106" s="7" t="s">
        <v>132</v>
      </c>
      <c r="K106" s="45">
        <v>0.533</v>
      </c>
      <c r="L106" s="45">
        <f t="shared" si="18"/>
        <v>2.665</v>
      </c>
      <c r="M106" s="2" t="s">
        <v>828</v>
      </c>
      <c r="N106" s="2" t="s">
        <v>829</v>
      </c>
      <c r="O106" s="2" t="s">
        <v>830</v>
      </c>
      <c r="P106" s="2" t="s">
        <v>831</v>
      </c>
      <c r="AZ106" s="3">
        <v>5.0</v>
      </c>
    </row>
    <row r="107" ht="15.75" customHeight="1">
      <c r="A107" s="3">
        <f t="shared" si="16"/>
        <v>2</v>
      </c>
      <c r="B107" s="2" t="s">
        <v>832</v>
      </c>
      <c r="D107" s="2"/>
      <c r="E107" s="11" t="s">
        <v>765</v>
      </c>
      <c r="F107" s="11"/>
      <c r="G107" s="52"/>
      <c r="H107" s="52"/>
      <c r="I107" s="2"/>
      <c r="J107" s="2"/>
      <c r="K107" s="6"/>
      <c r="L107" s="6"/>
      <c r="M107" s="2" t="s">
        <v>833</v>
      </c>
      <c r="AZ107" s="3">
        <v>1.0</v>
      </c>
    </row>
    <row r="108" ht="15.75" customHeight="1">
      <c r="A108" s="3">
        <f t="shared" si="16"/>
        <v>2</v>
      </c>
      <c r="B108" s="4" t="s">
        <v>834</v>
      </c>
      <c r="D108" s="55" t="s">
        <v>835</v>
      </c>
      <c r="E108" s="56" t="s">
        <v>836</v>
      </c>
      <c r="F108" s="56"/>
      <c r="G108" s="57"/>
      <c r="H108" s="57"/>
      <c r="I108" s="2"/>
      <c r="J108" s="2"/>
      <c r="K108" s="6"/>
      <c r="L108" s="6"/>
      <c r="M108" s="2" t="s">
        <v>837</v>
      </c>
      <c r="AZ108" s="3">
        <v>1.0</v>
      </c>
    </row>
    <row r="109" ht="15.75" customHeight="1">
      <c r="A109" s="3">
        <f t="shared" si="16"/>
        <v>2</v>
      </c>
      <c r="B109" s="58" t="s">
        <v>838</v>
      </c>
      <c r="D109" s="2"/>
      <c r="F109" s="2"/>
      <c r="G109" s="6"/>
      <c r="H109" s="6"/>
      <c r="I109" s="2"/>
      <c r="J109" s="2"/>
      <c r="K109" s="6"/>
      <c r="L109" s="6"/>
      <c r="M109" s="59" t="s">
        <v>33</v>
      </c>
      <c r="AZ109" s="60">
        <v>1.0</v>
      </c>
    </row>
    <row r="110" ht="15.75" customHeight="1">
      <c r="A110" s="3">
        <f t="shared" si="16"/>
        <v>3</v>
      </c>
      <c r="B110" s="58" t="s">
        <v>839</v>
      </c>
      <c r="D110" s="2"/>
      <c r="F110" s="2"/>
      <c r="G110" s="6"/>
      <c r="H110" s="6"/>
      <c r="I110" s="2"/>
      <c r="J110" s="2"/>
      <c r="K110" s="6"/>
      <c r="L110" s="6"/>
      <c r="M110" s="59" t="s">
        <v>840</v>
      </c>
      <c r="N110" s="59" t="s">
        <v>841</v>
      </c>
      <c r="AZ110" s="60">
        <v>2.0</v>
      </c>
    </row>
    <row r="111" ht="15.75" customHeight="1">
      <c r="A111" s="4"/>
      <c r="B111" s="4"/>
      <c r="D111" s="2"/>
      <c r="F111" s="2"/>
      <c r="G111" s="6"/>
      <c r="H111" s="6"/>
      <c r="I111" s="2"/>
      <c r="J111" s="2"/>
      <c r="K111" s="6"/>
      <c r="L111" s="6"/>
      <c r="AZ111" s="4"/>
    </row>
    <row r="112" ht="15.75" customHeight="1">
      <c r="A112" s="8" t="s">
        <v>842</v>
      </c>
      <c r="B112" s="8"/>
      <c r="C112" s="9"/>
      <c r="D112" s="9"/>
      <c r="E112" s="9"/>
      <c r="F112" s="9"/>
      <c r="G112" s="10"/>
      <c r="H112" s="10"/>
      <c r="I112" s="9"/>
      <c r="J112" s="9"/>
      <c r="K112" s="10"/>
      <c r="L112" s="10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8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</row>
    <row r="113" ht="15.75" customHeight="1">
      <c r="A113" s="3">
        <f t="shared" ref="A113:A119" si="19">COUNTA(M113:BO113)</f>
        <v>17</v>
      </c>
      <c r="B113" s="40" t="s">
        <v>843</v>
      </c>
      <c r="D113" s="2"/>
      <c r="E113" s="61" t="s">
        <v>844</v>
      </c>
      <c r="F113" s="62" t="s">
        <v>845</v>
      </c>
      <c r="G113" s="63"/>
      <c r="H113" s="63"/>
      <c r="I113" s="2"/>
      <c r="J113" s="2"/>
      <c r="K113" s="48"/>
      <c r="L113" s="48"/>
      <c r="M113" s="16" t="s">
        <v>846</v>
      </c>
      <c r="N113" s="16" t="s">
        <v>847</v>
      </c>
      <c r="O113" s="16" t="s">
        <v>848</v>
      </c>
      <c r="P113" s="16" t="s">
        <v>849</v>
      </c>
      <c r="Q113" s="16" t="s">
        <v>850</v>
      </c>
      <c r="R113" s="16" t="s">
        <v>851</v>
      </c>
      <c r="S113" s="16" t="s">
        <v>852</v>
      </c>
      <c r="T113" s="16" t="s">
        <v>853</v>
      </c>
      <c r="U113" s="16" t="s">
        <v>854</v>
      </c>
      <c r="V113" s="16" t="s">
        <v>855</v>
      </c>
      <c r="W113" s="24" t="s">
        <v>856</v>
      </c>
      <c r="X113" s="16" t="s">
        <v>857</v>
      </c>
      <c r="Y113" s="16" t="s">
        <v>858</v>
      </c>
      <c r="Z113" s="16" t="s">
        <v>859</v>
      </c>
      <c r="AA113" s="16" t="s">
        <v>860</v>
      </c>
      <c r="AB113" s="16" t="s">
        <v>861</v>
      </c>
      <c r="AZ113" s="3">
        <v>16.0</v>
      </c>
    </row>
    <row r="114" ht="15.75" customHeight="1">
      <c r="A114" s="3">
        <f t="shared" si="19"/>
        <v>38</v>
      </c>
      <c r="B114" s="40" t="s">
        <v>862</v>
      </c>
      <c r="D114" s="2"/>
      <c r="E114" s="61" t="s">
        <v>844</v>
      </c>
      <c r="F114" s="62" t="s">
        <v>863</v>
      </c>
      <c r="G114" s="63"/>
      <c r="H114" s="63"/>
      <c r="I114" s="2"/>
      <c r="J114" s="2"/>
      <c r="K114" s="48"/>
      <c r="L114" s="48"/>
      <c r="M114" s="16" t="s">
        <v>864</v>
      </c>
      <c r="N114" s="16" t="s">
        <v>56</v>
      </c>
      <c r="O114" s="16" t="s">
        <v>58</v>
      </c>
      <c r="P114" s="16" t="s">
        <v>52</v>
      </c>
      <c r="Q114" s="16" t="s">
        <v>865</v>
      </c>
      <c r="R114" s="16" t="s">
        <v>51</v>
      </c>
      <c r="S114" s="16" t="s">
        <v>866</v>
      </c>
      <c r="T114" s="16" t="s">
        <v>867</v>
      </c>
      <c r="U114" s="16" t="s">
        <v>868</v>
      </c>
      <c r="V114" s="16" t="s">
        <v>869</v>
      </c>
      <c r="W114" s="16" t="s">
        <v>870</v>
      </c>
      <c r="X114" s="16" t="s">
        <v>871</v>
      </c>
      <c r="Y114" s="16" t="s">
        <v>872</v>
      </c>
      <c r="Z114" s="16" t="s">
        <v>873</v>
      </c>
      <c r="AA114" s="16" t="s">
        <v>874</v>
      </c>
      <c r="AB114" s="16" t="s">
        <v>875</v>
      </c>
      <c r="AC114" s="16" t="s">
        <v>876</v>
      </c>
      <c r="AD114" s="24" t="s">
        <v>877</v>
      </c>
      <c r="AE114" s="16" t="s">
        <v>878</v>
      </c>
      <c r="AF114" s="16" t="s">
        <v>879</v>
      </c>
      <c r="AG114" s="16" t="s">
        <v>880</v>
      </c>
      <c r="AH114" s="24" t="s">
        <v>881</v>
      </c>
      <c r="AI114" s="16" t="s">
        <v>882</v>
      </c>
      <c r="AJ114" s="16" t="s">
        <v>883</v>
      </c>
      <c r="AK114" s="24" t="s">
        <v>884</v>
      </c>
      <c r="AL114" s="24" t="s">
        <v>885</v>
      </c>
      <c r="AM114" s="24" t="s">
        <v>886</v>
      </c>
      <c r="AN114" s="16" t="s">
        <v>887</v>
      </c>
      <c r="AO114" s="16" t="s">
        <v>888</v>
      </c>
      <c r="AP114" s="16" t="s">
        <v>889</v>
      </c>
      <c r="AQ114" s="16" t="s">
        <v>890</v>
      </c>
      <c r="AR114" s="16" t="s">
        <v>891</v>
      </c>
      <c r="AS114" s="16" t="s">
        <v>892</v>
      </c>
      <c r="AT114" s="16" t="s">
        <v>893</v>
      </c>
      <c r="AU114" s="16" t="s">
        <v>894</v>
      </c>
      <c r="AV114" s="16" t="s">
        <v>895</v>
      </c>
      <c r="AW114" s="16" t="s">
        <v>896</v>
      </c>
      <c r="AZ114" s="3">
        <v>37.0</v>
      </c>
    </row>
    <row r="115" ht="15.75" customHeight="1">
      <c r="A115" s="3">
        <f t="shared" si="19"/>
        <v>6</v>
      </c>
      <c r="B115" s="4" t="s">
        <v>897</v>
      </c>
      <c r="D115" s="2"/>
      <c r="E115" s="11" t="s">
        <v>765</v>
      </c>
      <c r="F115" s="11"/>
      <c r="G115" s="52"/>
      <c r="H115" s="52"/>
      <c r="I115" s="2"/>
      <c r="J115" s="2"/>
      <c r="K115" s="6"/>
      <c r="L115" s="6"/>
      <c r="M115" s="16" t="s">
        <v>898</v>
      </c>
      <c r="N115" s="16" t="s">
        <v>899</v>
      </c>
      <c r="O115" s="16" t="s">
        <v>900</v>
      </c>
      <c r="P115" s="16" t="s">
        <v>901</v>
      </c>
      <c r="Q115" s="16" t="s">
        <v>902</v>
      </c>
      <c r="AZ115" s="3">
        <v>5.0</v>
      </c>
    </row>
    <row r="116" ht="15.75" customHeight="1">
      <c r="A116" s="3">
        <f t="shared" si="19"/>
        <v>10</v>
      </c>
      <c r="B116" s="4" t="s">
        <v>903</v>
      </c>
      <c r="D116" s="2"/>
      <c r="E116" s="11" t="s">
        <v>765</v>
      </c>
      <c r="F116" s="11"/>
      <c r="G116" s="52"/>
      <c r="H116" s="52"/>
      <c r="I116" s="2"/>
      <c r="J116" s="2"/>
      <c r="K116" s="6"/>
      <c r="L116" s="6"/>
      <c r="M116" s="16" t="s">
        <v>904</v>
      </c>
      <c r="N116" s="16" t="s">
        <v>905</v>
      </c>
      <c r="O116" s="16" t="s">
        <v>906</v>
      </c>
      <c r="P116" s="16" t="s">
        <v>907</v>
      </c>
      <c r="Q116" s="16" t="s">
        <v>908</v>
      </c>
      <c r="R116" s="16" t="s">
        <v>909</v>
      </c>
      <c r="S116" s="16" t="s">
        <v>910</v>
      </c>
      <c r="T116" s="16" t="s">
        <v>911</v>
      </c>
      <c r="U116" s="16" t="s">
        <v>912</v>
      </c>
      <c r="AZ116" s="3">
        <v>9.0</v>
      </c>
    </row>
    <row r="117" ht="15.75" customHeight="1">
      <c r="A117" s="3">
        <f t="shared" si="19"/>
        <v>2</v>
      </c>
      <c r="B117" s="40" t="s">
        <v>913</v>
      </c>
      <c r="D117" s="2" t="s">
        <v>914</v>
      </c>
      <c r="E117" s="12" t="s">
        <v>54</v>
      </c>
      <c r="F117" s="13" t="s">
        <v>915</v>
      </c>
      <c r="G117" s="14">
        <v>0.47</v>
      </c>
      <c r="H117" s="14">
        <f t="shared" ref="H117:H119" si="20">AZ117*G117</f>
        <v>0.47</v>
      </c>
      <c r="I117" s="5" t="s">
        <v>7</v>
      </c>
      <c r="J117" s="7" t="s">
        <v>133</v>
      </c>
      <c r="K117" s="45">
        <v>0.459</v>
      </c>
      <c r="L117" s="45">
        <f t="shared" ref="L117:L119" si="21">AZ117*K117</f>
        <v>0.459</v>
      </c>
      <c r="M117" s="16" t="s">
        <v>916</v>
      </c>
      <c r="AZ117" s="3">
        <v>1.0</v>
      </c>
    </row>
    <row r="118" ht="15.75" customHeight="1">
      <c r="A118" s="3">
        <f t="shared" si="19"/>
        <v>2</v>
      </c>
      <c r="B118" s="40" t="s">
        <v>917</v>
      </c>
      <c r="D118" s="2" t="s">
        <v>918</v>
      </c>
      <c r="E118" s="12" t="s">
        <v>54</v>
      </c>
      <c r="F118" s="13" t="s">
        <v>919</v>
      </c>
      <c r="G118" s="14">
        <v>0.38</v>
      </c>
      <c r="H118" s="14">
        <f t="shared" si="20"/>
        <v>0.38</v>
      </c>
      <c r="I118" s="5" t="s">
        <v>7</v>
      </c>
      <c r="J118" s="7" t="s">
        <v>137</v>
      </c>
      <c r="K118" s="45">
        <v>0.357</v>
      </c>
      <c r="L118" s="45">
        <f t="shared" si="21"/>
        <v>0.357</v>
      </c>
      <c r="M118" s="16" t="s">
        <v>920</v>
      </c>
      <c r="AZ118" s="3">
        <v>1.0</v>
      </c>
    </row>
    <row r="119" ht="15.75" customHeight="1">
      <c r="A119" s="3">
        <f t="shared" si="19"/>
        <v>2</v>
      </c>
      <c r="B119" s="40" t="s">
        <v>921</v>
      </c>
      <c r="D119" s="2" t="s">
        <v>922</v>
      </c>
      <c r="E119" s="12" t="s">
        <v>54</v>
      </c>
      <c r="F119" s="13" t="s">
        <v>923</v>
      </c>
      <c r="G119" s="14">
        <v>0.34</v>
      </c>
      <c r="H119" s="14">
        <f t="shared" si="20"/>
        <v>0.34</v>
      </c>
      <c r="I119" s="5" t="s">
        <v>7</v>
      </c>
      <c r="J119" s="7" t="s">
        <v>140</v>
      </c>
      <c r="K119" s="45">
        <v>0.34</v>
      </c>
      <c r="L119" s="45">
        <f t="shared" si="21"/>
        <v>0.34</v>
      </c>
      <c r="M119" s="16" t="s">
        <v>924</v>
      </c>
      <c r="AZ119" s="3">
        <v>1.0</v>
      </c>
    </row>
    <row r="120" ht="15.75" customHeight="1">
      <c r="A120" s="4"/>
      <c r="B120" s="4"/>
      <c r="D120" s="2"/>
      <c r="F120" s="2"/>
      <c r="G120" s="6"/>
      <c r="H120" s="6"/>
      <c r="I120" s="2"/>
      <c r="J120" s="2"/>
      <c r="K120" s="6"/>
      <c r="L120" s="6">
        <f>SUM(L113:L119)</f>
        <v>1.156</v>
      </c>
      <c r="AZ120" s="4"/>
    </row>
    <row r="121" ht="15.75" customHeight="1">
      <c r="A121" s="8" t="s">
        <v>925</v>
      </c>
      <c r="B121" s="8"/>
      <c r="C121" s="9"/>
      <c r="D121" s="9"/>
      <c r="E121" s="9"/>
      <c r="F121" s="9"/>
      <c r="G121" s="10"/>
      <c r="H121" s="10"/>
      <c r="I121" s="9"/>
      <c r="J121" s="9"/>
      <c r="K121" s="10"/>
      <c r="L121" s="10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8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</row>
    <row r="122" ht="15.75" customHeight="1">
      <c r="A122" s="3">
        <f t="shared" ref="A122:A124" si="22">COUNTA(M122:BO122)</f>
        <v>2</v>
      </c>
      <c r="B122" s="4" t="s">
        <v>926</v>
      </c>
      <c r="D122" s="2"/>
      <c r="E122" s="12" t="s">
        <v>54</v>
      </c>
      <c r="F122" s="12" t="s">
        <v>927</v>
      </c>
      <c r="G122" s="14">
        <v>0.36</v>
      </c>
      <c r="H122" s="14">
        <f t="shared" ref="H122:H123" si="23">AZ122*G122</f>
        <v>0.36</v>
      </c>
      <c r="I122" s="5" t="s">
        <v>7</v>
      </c>
      <c r="J122" s="7" t="s">
        <v>146</v>
      </c>
      <c r="K122" s="45">
        <v>0.366</v>
      </c>
      <c r="L122" s="45">
        <f t="shared" ref="L122:L123" si="24">AZ122*K122</f>
        <v>0.366</v>
      </c>
      <c r="M122" s="16" t="s">
        <v>928</v>
      </c>
      <c r="AZ122" s="3">
        <v>1.0</v>
      </c>
    </row>
    <row r="123" ht="15.75" customHeight="1">
      <c r="A123" s="3">
        <f t="shared" si="22"/>
        <v>2</v>
      </c>
      <c r="B123" s="4" t="s">
        <v>422</v>
      </c>
      <c r="D123" s="2"/>
      <c r="E123" s="12" t="s">
        <v>54</v>
      </c>
      <c r="F123" s="12" t="s">
        <v>929</v>
      </c>
      <c r="G123" s="14">
        <v>0.36</v>
      </c>
      <c r="H123" s="14">
        <f t="shared" si="23"/>
        <v>0.36</v>
      </c>
      <c r="I123" s="5" t="s">
        <v>7</v>
      </c>
      <c r="J123" s="7" t="s">
        <v>150</v>
      </c>
      <c r="K123" s="45">
        <v>0.366</v>
      </c>
      <c r="L123" s="45">
        <f t="shared" si="24"/>
        <v>0.366</v>
      </c>
      <c r="M123" s="16" t="s">
        <v>930</v>
      </c>
      <c r="N123" s="2"/>
      <c r="AZ123" s="3">
        <v>1.0</v>
      </c>
    </row>
    <row r="124" ht="15.75" customHeight="1">
      <c r="A124" s="3">
        <f t="shared" si="22"/>
        <v>2</v>
      </c>
      <c r="B124" s="4" t="s">
        <v>931</v>
      </c>
      <c r="C124" s="2"/>
      <c r="D124" s="2"/>
      <c r="E124" s="12"/>
      <c r="F124" s="12"/>
      <c r="G124" s="14"/>
      <c r="H124" s="14"/>
      <c r="I124" s="5"/>
      <c r="J124" s="7"/>
      <c r="K124" s="45"/>
      <c r="L124" s="45"/>
      <c r="M124" s="41" t="s">
        <v>932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3">
        <v>1.0</v>
      </c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ht="15.75" customHeight="1">
      <c r="A125" s="4"/>
      <c r="B125" s="4"/>
      <c r="D125" s="2"/>
      <c r="F125" s="2"/>
      <c r="G125" s="6"/>
      <c r="H125" s="6"/>
      <c r="I125" s="2"/>
      <c r="J125" s="2"/>
      <c r="K125" s="6"/>
      <c r="L125" s="6"/>
      <c r="AZ125" s="4"/>
    </row>
    <row r="126" ht="15.75" customHeight="1">
      <c r="A126" s="8" t="s">
        <v>933</v>
      </c>
      <c r="B126" s="8"/>
      <c r="C126" s="9"/>
      <c r="D126" s="9"/>
      <c r="E126" s="9"/>
      <c r="F126" s="9"/>
      <c r="G126" s="10"/>
      <c r="H126" s="10"/>
      <c r="I126" s="9"/>
      <c r="J126" s="9"/>
      <c r="K126" s="10"/>
      <c r="L126" s="10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8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</row>
    <row r="127" ht="15.75" customHeight="1">
      <c r="A127" s="3">
        <f t="shared" ref="A127:A131" si="25">COUNTA(M127:BO127)</f>
        <v>3</v>
      </c>
      <c r="B127" s="4" t="s">
        <v>934</v>
      </c>
      <c r="C127" s="2"/>
      <c r="D127" s="2"/>
      <c r="E127" s="56" t="s">
        <v>836</v>
      </c>
      <c r="F127" s="56"/>
      <c r="G127" s="57"/>
      <c r="H127" s="57"/>
      <c r="I127" s="56"/>
      <c r="J127" s="56"/>
      <c r="K127" s="57"/>
      <c r="L127" s="57"/>
      <c r="M127" s="16" t="s">
        <v>935</v>
      </c>
      <c r="N127" s="16" t="s">
        <v>936</v>
      </c>
      <c r="AZ127" s="3">
        <v>2.0</v>
      </c>
    </row>
    <row r="128" ht="15.75" customHeight="1">
      <c r="A128" s="3">
        <f t="shared" si="25"/>
        <v>3</v>
      </c>
      <c r="B128" s="4" t="s">
        <v>937</v>
      </c>
      <c r="D128" s="2"/>
      <c r="E128" s="56" t="s">
        <v>836</v>
      </c>
      <c r="F128" s="56"/>
      <c r="G128" s="57"/>
      <c r="H128" s="57"/>
      <c r="I128" s="56"/>
      <c r="J128" s="56"/>
      <c r="K128" s="57"/>
      <c r="L128" s="57"/>
      <c r="M128" s="16" t="s">
        <v>938</v>
      </c>
      <c r="N128" s="16" t="s">
        <v>938</v>
      </c>
      <c r="AZ128" s="3">
        <v>2.0</v>
      </c>
    </row>
    <row r="129" ht="15.75" customHeight="1">
      <c r="A129" s="3">
        <f t="shared" si="25"/>
        <v>2</v>
      </c>
      <c r="B129" s="4" t="s">
        <v>939</v>
      </c>
      <c r="D129" s="2"/>
      <c r="E129" s="56" t="s">
        <v>836</v>
      </c>
      <c r="F129" s="56"/>
      <c r="G129" s="57"/>
      <c r="H129" s="57"/>
      <c r="I129" s="56"/>
      <c r="J129" s="56"/>
      <c r="K129" s="57"/>
      <c r="L129" s="57"/>
      <c r="M129" s="16" t="s">
        <v>940</v>
      </c>
      <c r="AZ129" s="3">
        <v>1.0</v>
      </c>
    </row>
    <row r="130" ht="15.75" customHeight="1">
      <c r="A130" s="3">
        <f t="shared" si="25"/>
        <v>2</v>
      </c>
      <c r="B130" s="4" t="s">
        <v>941</v>
      </c>
      <c r="D130" s="2"/>
      <c r="E130" s="56" t="s">
        <v>836</v>
      </c>
      <c r="F130" s="56"/>
      <c r="G130" s="57"/>
      <c r="H130" s="57"/>
      <c r="I130" s="56"/>
      <c r="J130" s="56"/>
      <c r="K130" s="57"/>
      <c r="L130" s="57"/>
      <c r="M130" s="16" t="s">
        <v>942</v>
      </c>
      <c r="AZ130" s="3">
        <v>1.0</v>
      </c>
    </row>
    <row r="131" ht="15.75" customHeight="1">
      <c r="A131" s="3">
        <f t="shared" si="25"/>
        <v>2</v>
      </c>
      <c r="B131" s="4" t="s">
        <v>943</v>
      </c>
      <c r="D131" s="2" t="s">
        <v>944</v>
      </c>
      <c r="E131" s="12" t="s">
        <v>54</v>
      </c>
      <c r="F131" s="12" t="s">
        <v>945</v>
      </c>
      <c r="G131" s="14">
        <v>0.97</v>
      </c>
      <c r="H131" s="14">
        <f>AZ131*G131</f>
        <v>0.97</v>
      </c>
      <c r="I131" s="5" t="s">
        <v>7</v>
      </c>
      <c r="J131" s="5" t="s">
        <v>153</v>
      </c>
      <c r="K131" s="54">
        <v>0.995</v>
      </c>
      <c r="L131" s="45">
        <f>AZ131*K131</f>
        <v>0.995</v>
      </c>
      <c r="M131" s="2" t="s">
        <v>946</v>
      </c>
      <c r="AZ131" s="3">
        <v>1.0</v>
      </c>
    </row>
    <row r="132" ht="15.75" customHeight="1">
      <c r="A132" s="4"/>
      <c r="B132" s="4"/>
      <c r="D132" s="2"/>
      <c r="F132" s="2"/>
      <c r="G132" s="6"/>
      <c r="H132" s="6"/>
      <c r="I132" s="2"/>
      <c r="J132" s="2"/>
      <c r="K132" s="6"/>
      <c r="L132" s="6"/>
      <c r="AZ132" s="4"/>
    </row>
    <row r="133" ht="15.75" customHeight="1">
      <c r="A133" s="8" t="s">
        <v>947</v>
      </c>
      <c r="B133" s="64"/>
      <c r="C133" s="9"/>
      <c r="D133" s="9"/>
      <c r="E133" s="9"/>
      <c r="F133" s="9"/>
      <c r="G133" s="10"/>
      <c r="H133" s="10"/>
      <c r="I133" s="9"/>
      <c r="J133" s="9"/>
      <c r="K133" s="10"/>
      <c r="L133" s="10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8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</row>
    <row r="134" ht="15.75" customHeight="1">
      <c r="A134" s="3">
        <f t="shared" ref="A134:A138" si="26">COUNTA(M134:BO134)</f>
        <v>2</v>
      </c>
      <c r="B134" s="4" t="s">
        <v>948</v>
      </c>
      <c r="D134" s="2"/>
      <c r="E134" s="56" t="s">
        <v>836</v>
      </c>
      <c r="F134" s="56"/>
      <c r="G134" s="57"/>
      <c r="H134" s="57"/>
      <c r="I134" s="56"/>
      <c r="J134" s="56"/>
      <c r="K134" s="57"/>
      <c r="L134" s="57"/>
      <c r="M134" s="16" t="s">
        <v>949</v>
      </c>
      <c r="AZ134" s="3">
        <v>1.0</v>
      </c>
    </row>
    <row r="135" ht="15.75" customHeight="1">
      <c r="A135" s="3">
        <f t="shared" si="26"/>
        <v>2</v>
      </c>
      <c r="B135" s="4" t="s">
        <v>950</v>
      </c>
      <c r="D135" s="2"/>
      <c r="E135" s="56" t="s">
        <v>836</v>
      </c>
      <c r="F135" s="56"/>
      <c r="G135" s="57"/>
      <c r="H135" s="57"/>
      <c r="I135" s="56"/>
      <c r="J135" s="56"/>
      <c r="K135" s="57"/>
      <c r="L135" s="57"/>
      <c r="M135" s="16" t="s">
        <v>951</v>
      </c>
      <c r="AZ135" s="3">
        <v>1.0</v>
      </c>
    </row>
    <row r="136" ht="15.75" customHeight="1">
      <c r="A136" s="3">
        <f t="shared" si="26"/>
        <v>2</v>
      </c>
      <c r="B136" s="4" t="s">
        <v>952</v>
      </c>
      <c r="D136" s="2"/>
      <c r="E136" s="56" t="s">
        <v>836</v>
      </c>
      <c r="F136" s="56"/>
      <c r="G136" s="57"/>
      <c r="H136" s="57"/>
      <c r="I136" s="56"/>
      <c r="J136" s="56"/>
      <c r="K136" s="57"/>
      <c r="L136" s="57"/>
      <c r="M136" s="16" t="s">
        <v>953</v>
      </c>
      <c r="AZ136" s="3">
        <v>1.0</v>
      </c>
    </row>
    <row r="137" ht="15.75" customHeight="1">
      <c r="A137" s="3">
        <f t="shared" si="26"/>
        <v>22</v>
      </c>
      <c r="B137" s="4" t="s">
        <v>954</v>
      </c>
      <c r="D137" s="2"/>
      <c r="F137" s="2"/>
      <c r="G137" s="6"/>
      <c r="H137" s="6"/>
      <c r="I137" s="5" t="s">
        <v>7</v>
      </c>
      <c r="J137" s="7" t="s">
        <v>154</v>
      </c>
      <c r="K137" s="45">
        <v>0.799</v>
      </c>
      <c r="L137" s="45">
        <f>AZ137*K137</f>
        <v>16.779</v>
      </c>
      <c r="M137" s="16" t="s">
        <v>955</v>
      </c>
      <c r="N137" s="16" t="s">
        <v>956</v>
      </c>
      <c r="O137" s="16" t="s">
        <v>957</v>
      </c>
      <c r="P137" s="16" t="s">
        <v>958</v>
      </c>
      <c r="Q137" s="16" t="s">
        <v>959</v>
      </c>
      <c r="R137" s="16" t="s">
        <v>960</v>
      </c>
      <c r="S137" s="16" t="s">
        <v>961</v>
      </c>
      <c r="T137" s="16" t="s">
        <v>962</v>
      </c>
      <c r="U137" s="16" t="s">
        <v>963</v>
      </c>
      <c r="V137" s="16" t="s">
        <v>964</v>
      </c>
      <c r="W137" s="16" t="s">
        <v>965</v>
      </c>
      <c r="X137" s="16" t="s">
        <v>966</v>
      </c>
      <c r="Y137" s="16" t="s">
        <v>967</v>
      </c>
      <c r="Z137" s="16" t="s">
        <v>968</v>
      </c>
      <c r="AA137" s="16" t="s">
        <v>969</v>
      </c>
      <c r="AB137" s="16" t="s">
        <v>970</v>
      </c>
      <c r="AC137" s="16" t="s">
        <v>971</v>
      </c>
      <c r="AD137" s="16" t="s">
        <v>972</v>
      </c>
      <c r="AE137" s="16" t="s">
        <v>973</v>
      </c>
      <c r="AF137" s="16" t="s">
        <v>974</v>
      </c>
      <c r="AG137" s="16" t="s">
        <v>975</v>
      </c>
      <c r="AZ137" s="3">
        <v>21.0</v>
      </c>
    </row>
    <row r="138" ht="15.75" customHeight="1">
      <c r="A138" s="3">
        <f t="shared" si="26"/>
        <v>2</v>
      </c>
      <c r="B138" s="4" t="s">
        <v>976</v>
      </c>
      <c r="D138" s="2" t="s">
        <v>977</v>
      </c>
      <c r="F138" s="2"/>
      <c r="G138" s="6"/>
      <c r="H138" s="6"/>
      <c r="I138" s="2"/>
      <c r="J138" s="2"/>
      <c r="K138" s="6"/>
      <c r="L138" s="6"/>
      <c r="M138" s="2" t="s">
        <v>978</v>
      </c>
      <c r="AZ138" s="3">
        <v>1.0</v>
      </c>
    </row>
    <row r="139" ht="15.75" customHeight="1">
      <c r="A139" s="4"/>
      <c r="B139" s="4"/>
      <c r="D139" s="2"/>
      <c r="F139" s="2"/>
      <c r="G139" s="6"/>
      <c r="H139" s="6"/>
      <c r="I139" s="2"/>
      <c r="J139" s="2"/>
      <c r="K139" s="6"/>
      <c r="L139" s="6"/>
      <c r="AZ139" s="4"/>
    </row>
    <row r="140" ht="15.75" customHeight="1">
      <c r="A140" s="8" t="s">
        <v>979</v>
      </c>
      <c r="B140" s="64"/>
      <c r="C140" s="9"/>
      <c r="D140" s="9"/>
      <c r="E140" s="9"/>
      <c r="F140" s="9"/>
      <c r="G140" s="10"/>
      <c r="H140" s="10"/>
      <c r="I140" s="9"/>
      <c r="J140" s="9"/>
      <c r="K140" s="10"/>
      <c r="L140" s="10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8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</row>
    <row r="141" ht="15.75" customHeight="1">
      <c r="A141" s="3">
        <f t="shared" ref="A141:A144" si="27">COUNTA(M141:BO141)</f>
        <v>2</v>
      </c>
      <c r="B141" s="4" t="s">
        <v>980</v>
      </c>
      <c r="D141" s="2"/>
      <c r="E141" s="56" t="s">
        <v>836</v>
      </c>
      <c r="F141" s="56"/>
      <c r="G141" s="57"/>
      <c r="H141" s="57"/>
      <c r="I141" s="2"/>
      <c r="J141" s="2"/>
      <c r="K141" s="6"/>
      <c r="L141" s="6"/>
      <c r="M141" s="16" t="s">
        <v>981</v>
      </c>
      <c r="AZ141" s="3">
        <v>1.0</v>
      </c>
    </row>
    <row r="142" ht="15.75" customHeight="1">
      <c r="A142" s="3">
        <f t="shared" si="27"/>
        <v>2</v>
      </c>
      <c r="B142" s="4" t="s">
        <v>982</v>
      </c>
      <c r="D142" s="2"/>
      <c r="E142" s="56" t="s">
        <v>836</v>
      </c>
      <c r="F142" s="56"/>
      <c r="G142" s="57"/>
      <c r="H142" s="57"/>
      <c r="I142" s="2"/>
      <c r="J142" s="2"/>
      <c r="K142" s="6"/>
      <c r="L142" s="6"/>
      <c r="M142" s="2" t="s">
        <v>983</v>
      </c>
      <c r="AZ142" s="3">
        <v>1.0</v>
      </c>
    </row>
    <row r="143" ht="15.75" customHeight="1">
      <c r="A143" s="3">
        <f t="shared" si="27"/>
        <v>6</v>
      </c>
      <c r="B143" s="40" t="s">
        <v>984</v>
      </c>
      <c r="D143" s="2"/>
      <c r="E143" s="56" t="s">
        <v>836</v>
      </c>
      <c r="F143" s="56"/>
      <c r="G143" s="57"/>
      <c r="H143" s="57"/>
      <c r="I143" s="2"/>
      <c r="J143" s="2"/>
      <c r="K143" s="6"/>
      <c r="L143" s="6"/>
      <c r="M143" s="16" t="s">
        <v>985</v>
      </c>
      <c r="N143" s="16" t="s">
        <v>986</v>
      </c>
      <c r="O143" s="2" t="s">
        <v>987</v>
      </c>
      <c r="P143" s="2" t="s">
        <v>988</v>
      </c>
      <c r="Q143" s="2" t="s">
        <v>989</v>
      </c>
      <c r="AZ143" s="3">
        <v>5.0</v>
      </c>
    </row>
    <row r="144" ht="15.75" customHeight="1">
      <c r="A144" s="3">
        <f t="shared" si="27"/>
        <v>2</v>
      </c>
      <c r="B144" s="40" t="s">
        <v>990</v>
      </c>
      <c r="D144" s="2"/>
      <c r="E144" s="56" t="s">
        <v>836</v>
      </c>
      <c r="F144" s="56"/>
      <c r="G144" s="57"/>
      <c r="H144" s="57"/>
      <c r="I144" s="2"/>
      <c r="J144" s="2"/>
      <c r="K144" s="6"/>
      <c r="L144" s="6"/>
      <c r="M144" s="16" t="s">
        <v>991</v>
      </c>
      <c r="AZ144" s="3">
        <v>1.0</v>
      </c>
    </row>
    <row r="145" ht="15.75" customHeight="1">
      <c r="A145" s="4"/>
      <c r="B145" s="4"/>
      <c r="D145" s="2"/>
      <c r="F145" s="2"/>
      <c r="G145" s="6"/>
      <c r="H145" s="6"/>
      <c r="I145" s="2"/>
      <c r="J145" s="2"/>
      <c r="K145" s="6"/>
      <c r="L145" s="6">
        <f>SUM(L141:L144)</f>
        <v>0</v>
      </c>
      <c r="AZ145" s="4"/>
    </row>
    <row r="146" ht="15.75" customHeight="1">
      <c r="A146" s="8" t="s">
        <v>992</v>
      </c>
      <c r="B146" s="64"/>
      <c r="C146" s="9"/>
      <c r="D146" s="9"/>
      <c r="E146" s="9"/>
      <c r="F146" s="9"/>
      <c r="G146" s="10"/>
      <c r="H146" s="10"/>
      <c r="I146" s="9"/>
      <c r="J146" s="9"/>
      <c r="K146" s="10"/>
      <c r="L146" s="10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8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</row>
    <row r="147" ht="15.75" customHeight="1">
      <c r="A147" s="3">
        <f>COUNTA(M147:BO147)</f>
        <v>2</v>
      </c>
      <c r="B147" s="4" t="s">
        <v>993</v>
      </c>
      <c r="C147" s="2"/>
      <c r="D147" s="2"/>
      <c r="E147" s="56" t="s">
        <v>836</v>
      </c>
      <c r="F147" s="56"/>
      <c r="G147" s="57"/>
      <c r="H147" s="57"/>
      <c r="I147" s="2"/>
      <c r="J147" s="2"/>
      <c r="K147" s="6"/>
      <c r="L147" s="6"/>
      <c r="M147" s="16" t="s">
        <v>994</v>
      </c>
      <c r="AZ147" s="3">
        <v>1.0</v>
      </c>
    </row>
    <row r="148" ht="15.75" customHeight="1">
      <c r="A148" s="4"/>
      <c r="B148" s="4"/>
      <c r="D148" s="2"/>
      <c r="F148" s="2"/>
      <c r="G148" s="6"/>
      <c r="H148" s="6"/>
      <c r="I148" s="2"/>
      <c r="J148" s="2"/>
      <c r="K148" s="6"/>
      <c r="L148" s="6">
        <f>SUM(L147)</f>
        <v>0</v>
      </c>
      <c r="AZ148" s="4"/>
    </row>
    <row r="149" ht="15.75" customHeight="1">
      <c r="A149" s="8" t="s">
        <v>995</v>
      </c>
      <c r="B149" s="64"/>
      <c r="C149" s="9"/>
      <c r="D149" s="9"/>
      <c r="E149" s="9"/>
      <c r="F149" s="9"/>
      <c r="G149" s="10"/>
      <c r="H149" s="10"/>
      <c r="I149" s="9"/>
      <c r="J149" s="9"/>
      <c r="K149" s="10"/>
      <c r="L149" s="10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8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</row>
    <row r="150" ht="15.75" customHeight="1">
      <c r="A150" s="65">
        <v>2.0</v>
      </c>
      <c r="B150" s="4" t="s">
        <v>996</v>
      </c>
      <c r="C150" s="2"/>
      <c r="D150" s="2"/>
      <c r="E150" s="2"/>
      <c r="F150" s="2"/>
      <c r="G150" s="6"/>
      <c r="H150" s="6"/>
      <c r="I150" s="5" t="s">
        <v>7</v>
      </c>
      <c r="J150" s="5" t="s">
        <v>157</v>
      </c>
      <c r="K150" s="54">
        <v>1.63</v>
      </c>
      <c r="L150" s="45">
        <f t="shared" ref="L150:L151" si="28">AZ150*K150</f>
        <v>3.26</v>
      </c>
      <c r="AZ150" s="3">
        <v>2.0</v>
      </c>
    </row>
    <row r="151" ht="15.75" customHeight="1">
      <c r="A151" s="65">
        <v>19.0</v>
      </c>
      <c r="B151" s="4" t="s">
        <v>997</v>
      </c>
      <c r="D151" s="2"/>
      <c r="E151" s="2"/>
      <c r="F151" s="2"/>
      <c r="G151" s="6"/>
      <c r="H151" s="6"/>
      <c r="I151" s="5" t="s">
        <v>7</v>
      </c>
      <c r="J151" s="5" t="s">
        <v>160</v>
      </c>
      <c r="K151" s="54">
        <v>0.071</v>
      </c>
      <c r="L151" s="45">
        <f t="shared" si="28"/>
        <v>1.349</v>
      </c>
      <c r="M151" s="2"/>
      <c r="AZ151" s="3">
        <v>19.0</v>
      </c>
    </row>
    <row r="152" ht="15.75" customHeight="1">
      <c r="A152" s="4"/>
      <c r="B152" s="4"/>
      <c r="D152" s="2"/>
      <c r="F152" s="2"/>
      <c r="G152" s="6"/>
      <c r="H152" s="6"/>
      <c r="I152" s="2"/>
      <c r="J152" s="2"/>
      <c r="K152" s="6"/>
      <c r="L152" s="6"/>
      <c r="AZ152" s="4"/>
    </row>
    <row r="153" ht="15.75" customHeight="1">
      <c r="A153" s="4"/>
      <c r="B153" s="4"/>
      <c r="D153" s="2"/>
      <c r="F153" s="2"/>
      <c r="G153" s="6"/>
      <c r="H153" s="6"/>
      <c r="I153" s="2"/>
      <c r="J153" s="2"/>
      <c r="K153" s="6"/>
      <c r="L153" s="6"/>
      <c r="AZ153" s="4"/>
    </row>
    <row r="154" ht="15.75" customHeight="1">
      <c r="A154" s="4"/>
      <c r="B154" s="4"/>
      <c r="D154" s="2"/>
      <c r="F154" s="2"/>
      <c r="G154" s="6"/>
      <c r="H154" s="6"/>
      <c r="I154" s="2"/>
      <c r="J154" s="2"/>
      <c r="K154" s="6"/>
      <c r="L154" s="6"/>
      <c r="AZ154" s="4"/>
    </row>
    <row r="155" ht="15.75" customHeight="1">
      <c r="A155" s="4"/>
      <c r="B155" s="4"/>
      <c r="D155" s="2"/>
      <c r="F155" s="2"/>
      <c r="G155" s="6"/>
      <c r="H155" s="6"/>
      <c r="I155" s="2"/>
      <c r="J155" s="2"/>
      <c r="K155" s="6"/>
      <c r="L155" s="6"/>
      <c r="AZ155" s="4"/>
    </row>
    <row r="156" ht="15.75" customHeight="1">
      <c r="A156" s="4"/>
      <c r="B156" s="4"/>
      <c r="D156" s="2"/>
      <c r="F156" s="2"/>
      <c r="G156" s="6"/>
      <c r="H156" s="6"/>
      <c r="I156" s="2"/>
      <c r="J156" s="2"/>
      <c r="K156" s="6"/>
      <c r="L156" s="6"/>
      <c r="AZ156" s="4"/>
    </row>
    <row r="157" ht="15.75" customHeight="1">
      <c r="A157" s="4"/>
      <c r="B157" s="4"/>
      <c r="D157" s="2"/>
      <c r="F157" s="2"/>
      <c r="G157" s="6"/>
      <c r="H157" s="6"/>
      <c r="I157" s="2"/>
      <c r="J157" s="2"/>
      <c r="K157" s="6"/>
      <c r="L157" s="6"/>
      <c r="AZ157" s="4"/>
    </row>
    <row r="158" ht="15.75" customHeight="1">
      <c r="A158" s="4"/>
      <c r="B158" s="4"/>
      <c r="D158" s="2"/>
      <c r="F158" s="2"/>
      <c r="G158" s="6"/>
      <c r="H158" s="6"/>
      <c r="I158" s="2"/>
      <c r="J158" s="2"/>
      <c r="K158" s="6"/>
      <c r="L158" s="6"/>
      <c r="AZ158" s="4"/>
    </row>
    <row r="159" ht="15.75" customHeight="1">
      <c r="A159" s="4"/>
      <c r="B159" s="4"/>
      <c r="D159" s="2"/>
      <c r="F159" s="2"/>
      <c r="G159" s="6"/>
      <c r="H159" s="6"/>
      <c r="I159" s="2"/>
      <c r="K159" s="6"/>
      <c r="L159" s="6"/>
      <c r="AZ159" s="4"/>
    </row>
    <row r="160" ht="15.75" customHeight="1">
      <c r="A160" s="4"/>
      <c r="B160" s="4"/>
      <c r="D160" s="2"/>
      <c r="F160" s="2"/>
      <c r="G160" s="6"/>
      <c r="H160" s="6"/>
      <c r="I160" s="2"/>
      <c r="K160" s="6"/>
      <c r="L160" s="6"/>
      <c r="AZ160" s="4"/>
    </row>
    <row r="161" ht="15.75" customHeight="1">
      <c r="A161" s="4"/>
      <c r="B161" s="4"/>
      <c r="D161" s="2"/>
      <c r="F161" s="2"/>
      <c r="G161" s="6"/>
      <c r="H161" s="6"/>
      <c r="I161" s="2"/>
      <c r="K161" s="6"/>
      <c r="L161" s="6"/>
      <c r="AZ161" s="4"/>
    </row>
    <row r="162" ht="15.75" customHeight="1">
      <c r="A162" s="4"/>
      <c r="B162" s="4"/>
      <c r="D162" s="2"/>
      <c r="F162" s="2"/>
      <c r="G162" s="6"/>
      <c r="H162" s="6"/>
      <c r="I162" s="2"/>
      <c r="K162" s="6"/>
      <c r="L162" s="6"/>
      <c r="AZ162" s="4"/>
    </row>
    <row r="163" ht="15.75" customHeight="1">
      <c r="A163" s="4"/>
      <c r="B163" s="4"/>
      <c r="D163" s="2"/>
      <c r="F163" s="2"/>
      <c r="G163" s="6"/>
      <c r="H163" s="6"/>
      <c r="I163" s="2"/>
      <c r="K163" s="6"/>
      <c r="L163" s="6"/>
      <c r="AZ163" s="4"/>
    </row>
    <row r="164" ht="15.75" customHeight="1">
      <c r="A164" s="4"/>
      <c r="B164" s="4"/>
      <c r="D164" s="2"/>
      <c r="F164" s="2"/>
      <c r="G164" s="6"/>
      <c r="H164" s="6"/>
      <c r="I164" s="2"/>
      <c r="K164" s="6"/>
      <c r="L164" s="6"/>
      <c r="AZ164" s="4"/>
    </row>
    <row r="165" ht="15.75" customHeight="1">
      <c r="A165" s="4"/>
      <c r="B165" s="4"/>
      <c r="D165" s="2"/>
      <c r="F165" s="2"/>
      <c r="G165" s="6"/>
      <c r="H165" s="6"/>
      <c r="I165" s="2"/>
      <c r="K165" s="6"/>
      <c r="L165" s="6"/>
      <c r="AZ165" s="4"/>
    </row>
    <row r="166" ht="15.75" customHeight="1">
      <c r="A166" s="4"/>
      <c r="B166" s="4"/>
      <c r="D166" s="2"/>
      <c r="F166" s="2"/>
      <c r="G166" s="6"/>
      <c r="H166" s="6"/>
      <c r="I166" s="2"/>
      <c r="K166" s="6"/>
      <c r="L166" s="6"/>
      <c r="AZ166" s="4"/>
    </row>
    <row r="167" ht="15.75" customHeight="1">
      <c r="A167" s="4"/>
      <c r="B167" s="4"/>
      <c r="D167" s="2"/>
      <c r="F167" s="2"/>
      <c r="G167" s="6"/>
      <c r="H167" s="6"/>
      <c r="I167" s="2"/>
      <c r="K167" s="6"/>
      <c r="L167" s="6"/>
      <c r="AZ167" s="4"/>
    </row>
    <row r="168" ht="15.75" customHeight="1">
      <c r="A168" s="4"/>
      <c r="B168" s="4"/>
      <c r="D168" s="2"/>
      <c r="F168" s="2"/>
      <c r="G168" s="6"/>
      <c r="H168" s="6"/>
      <c r="I168" s="2"/>
      <c r="K168" s="6"/>
      <c r="L168" s="6"/>
      <c r="AZ168" s="4"/>
    </row>
    <row r="169" ht="15.75" customHeight="1">
      <c r="A169" s="4"/>
      <c r="B169" s="4"/>
      <c r="D169" s="2"/>
      <c r="F169" s="2"/>
      <c r="G169" s="6"/>
      <c r="H169" s="6"/>
      <c r="I169" s="2"/>
      <c r="K169" s="6"/>
      <c r="L169" s="6"/>
      <c r="AZ169" s="4"/>
    </row>
    <row r="170" ht="15.75" customHeight="1">
      <c r="A170" s="4"/>
      <c r="B170" s="4"/>
      <c r="D170" s="2"/>
      <c r="F170" s="2"/>
      <c r="G170" s="6"/>
      <c r="H170" s="6"/>
      <c r="I170" s="2"/>
      <c r="K170" s="6"/>
      <c r="L170" s="6"/>
      <c r="AZ170" s="4"/>
    </row>
    <row r="171" ht="15.75" customHeight="1">
      <c r="A171" s="4"/>
      <c r="B171" s="4"/>
      <c r="D171" s="2"/>
      <c r="F171" s="2"/>
      <c r="G171" s="6"/>
      <c r="H171" s="6"/>
      <c r="I171" s="2"/>
      <c r="K171" s="6"/>
      <c r="L171" s="6"/>
      <c r="AZ171" s="4"/>
    </row>
    <row r="172" ht="15.75" customHeight="1">
      <c r="A172" s="4"/>
      <c r="B172" s="4"/>
      <c r="D172" s="2"/>
      <c r="F172" s="2"/>
      <c r="G172" s="6"/>
      <c r="H172" s="6"/>
      <c r="I172" s="2"/>
      <c r="K172" s="6"/>
      <c r="L172" s="6"/>
      <c r="AZ172" s="4"/>
    </row>
    <row r="173" ht="15.75" customHeight="1">
      <c r="A173" s="4"/>
      <c r="B173" s="4"/>
      <c r="D173" s="2"/>
      <c r="F173" s="2"/>
      <c r="G173" s="6"/>
      <c r="H173" s="6"/>
      <c r="I173" s="2"/>
      <c r="K173" s="6"/>
      <c r="L173" s="6"/>
      <c r="AZ173" s="4"/>
    </row>
    <row r="174" ht="15.75" customHeight="1">
      <c r="A174" s="4"/>
      <c r="B174" s="4"/>
      <c r="D174" s="2"/>
      <c r="F174" s="2"/>
      <c r="G174" s="6"/>
      <c r="H174" s="6"/>
      <c r="I174" s="2"/>
      <c r="K174" s="6"/>
      <c r="L174" s="6"/>
      <c r="AZ174" s="4"/>
    </row>
    <row r="175" ht="15.75" customHeight="1">
      <c r="A175" s="4"/>
      <c r="B175" s="4"/>
      <c r="D175" s="2"/>
      <c r="F175" s="2"/>
      <c r="G175" s="6"/>
      <c r="H175" s="6"/>
      <c r="I175" s="2"/>
      <c r="K175" s="6"/>
      <c r="L175" s="6"/>
      <c r="AZ175" s="4"/>
    </row>
    <row r="176" ht="15.75" customHeight="1">
      <c r="A176" s="4"/>
      <c r="B176" s="4"/>
      <c r="D176" s="2"/>
      <c r="F176" s="2"/>
      <c r="G176" s="6"/>
      <c r="H176" s="6"/>
      <c r="I176" s="2"/>
      <c r="K176" s="6"/>
      <c r="L176" s="6"/>
      <c r="AZ176" s="4"/>
    </row>
    <row r="177" ht="15.75" customHeight="1">
      <c r="A177" s="4"/>
      <c r="B177" s="4"/>
      <c r="D177" s="2"/>
      <c r="F177" s="2"/>
      <c r="G177" s="6"/>
      <c r="H177" s="6"/>
      <c r="I177" s="2"/>
      <c r="K177" s="6"/>
      <c r="L177" s="6"/>
      <c r="AZ177" s="4"/>
    </row>
    <row r="178" ht="15.75" customHeight="1">
      <c r="A178" s="4"/>
      <c r="B178" s="4"/>
      <c r="D178" s="2"/>
      <c r="F178" s="2"/>
      <c r="G178" s="6"/>
      <c r="H178" s="6"/>
      <c r="I178" s="2"/>
      <c r="K178" s="6"/>
      <c r="L178" s="6"/>
      <c r="AZ178" s="4"/>
    </row>
    <row r="179" ht="15.75" customHeight="1">
      <c r="A179" s="4"/>
      <c r="B179" s="4"/>
      <c r="D179" s="2"/>
      <c r="F179" s="2"/>
      <c r="G179" s="6"/>
      <c r="H179" s="6"/>
      <c r="I179" s="2"/>
      <c r="K179" s="6"/>
      <c r="L179" s="6"/>
      <c r="AZ179" s="4"/>
    </row>
    <row r="180" ht="15.75" customHeight="1">
      <c r="A180" s="4"/>
      <c r="B180" s="4"/>
      <c r="D180" s="2"/>
      <c r="F180" s="2"/>
      <c r="G180" s="6"/>
      <c r="H180" s="6"/>
      <c r="I180" s="2"/>
      <c r="K180" s="6"/>
      <c r="L180" s="6"/>
      <c r="AZ180" s="4"/>
    </row>
    <row r="181" ht="15.75" customHeight="1">
      <c r="A181" s="4"/>
      <c r="B181" s="4"/>
      <c r="D181" s="2"/>
      <c r="F181" s="2"/>
      <c r="G181" s="6"/>
      <c r="H181" s="6"/>
      <c r="I181" s="2"/>
      <c r="K181" s="6"/>
      <c r="L181" s="6"/>
      <c r="AZ181" s="4"/>
    </row>
    <row r="182" ht="15.75" customHeight="1">
      <c r="A182" s="4"/>
      <c r="B182" s="4"/>
      <c r="D182" s="2"/>
      <c r="F182" s="2"/>
      <c r="G182" s="6"/>
      <c r="H182" s="6"/>
      <c r="I182" s="2"/>
      <c r="K182" s="6"/>
      <c r="L182" s="6"/>
      <c r="AZ182" s="4"/>
    </row>
    <row r="183" ht="15.75" customHeight="1">
      <c r="A183" s="4"/>
      <c r="B183" s="4"/>
      <c r="D183" s="2"/>
      <c r="F183" s="2"/>
      <c r="G183" s="6"/>
      <c r="H183" s="6"/>
      <c r="I183" s="2"/>
      <c r="K183" s="6"/>
      <c r="L183" s="6"/>
      <c r="AZ183" s="4"/>
    </row>
    <row r="184" ht="15.75" customHeight="1">
      <c r="A184" s="4"/>
      <c r="B184" s="4"/>
      <c r="D184" s="2"/>
      <c r="F184" s="2"/>
      <c r="G184" s="6"/>
      <c r="H184" s="6"/>
      <c r="I184" s="2"/>
      <c r="K184" s="6"/>
      <c r="L184" s="6"/>
      <c r="AZ184" s="4"/>
    </row>
    <row r="185" ht="15.75" customHeight="1">
      <c r="A185" s="4"/>
      <c r="B185" s="4"/>
      <c r="D185" s="2"/>
      <c r="F185" s="2"/>
      <c r="G185" s="6"/>
      <c r="H185" s="6"/>
      <c r="I185" s="2"/>
      <c r="K185" s="6"/>
      <c r="L185" s="6"/>
      <c r="AZ185" s="4"/>
    </row>
    <row r="186" ht="15.75" customHeight="1">
      <c r="A186" s="4"/>
      <c r="B186" s="4"/>
      <c r="D186" s="2"/>
      <c r="F186" s="2"/>
      <c r="G186" s="6"/>
      <c r="H186" s="6"/>
      <c r="I186" s="2"/>
      <c r="K186" s="6"/>
      <c r="L186" s="6"/>
      <c r="AZ186" s="4"/>
    </row>
    <row r="187" ht="15.75" customHeight="1">
      <c r="A187" s="4"/>
      <c r="B187" s="4"/>
      <c r="D187" s="2"/>
      <c r="F187" s="2"/>
      <c r="G187" s="6"/>
      <c r="H187" s="6"/>
      <c r="I187" s="2"/>
      <c r="K187" s="6"/>
      <c r="L187" s="6"/>
      <c r="AZ187" s="4"/>
    </row>
    <row r="188" ht="15.75" customHeight="1">
      <c r="A188" s="4"/>
      <c r="B188" s="4"/>
      <c r="D188" s="2"/>
      <c r="F188" s="2"/>
      <c r="G188" s="6"/>
      <c r="H188" s="6"/>
      <c r="I188" s="2"/>
      <c r="K188" s="6"/>
      <c r="L188" s="6"/>
      <c r="AZ188" s="4"/>
    </row>
    <row r="189" ht="15.75" customHeight="1">
      <c r="A189" s="4"/>
      <c r="B189" s="4"/>
      <c r="D189" s="2"/>
      <c r="F189" s="2"/>
      <c r="G189" s="6"/>
      <c r="H189" s="6"/>
      <c r="I189" s="2"/>
      <c r="K189" s="6"/>
      <c r="L189" s="6"/>
      <c r="AZ189" s="4"/>
    </row>
    <row r="190" ht="15.75" customHeight="1">
      <c r="A190" s="4"/>
      <c r="B190" s="4"/>
      <c r="D190" s="2"/>
      <c r="F190" s="2"/>
      <c r="G190" s="6"/>
      <c r="H190" s="6"/>
      <c r="I190" s="2"/>
      <c r="K190" s="6"/>
      <c r="L190" s="6"/>
      <c r="AZ190" s="4"/>
    </row>
    <row r="191" ht="15.75" customHeight="1">
      <c r="A191" s="4"/>
      <c r="B191" s="4"/>
      <c r="D191" s="2"/>
      <c r="F191" s="2"/>
      <c r="G191" s="6"/>
      <c r="H191" s="6"/>
      <c r="I191" s="2"/>
      <c r="K191" s="6"/>
      <c r="L191" s="6"/>
      <c r="AZ191" s="4"/>
    </row>
    <row r="192" ht="15.75" customHeight="1">
      <c r="A192" s="4"/>
      <c r="B192" s="4"/>
      <c r="D192" s="2"/>
      <c r="F192" s="2"/>
      <c r="G192" s="6"/>
      <c r="H192" s="6"/>
      <c r="I192" s="2"/>
      <c r="K192" s="6"/>
      <c r="L192" s="6"/>
      <c r="AZ192" s="4"/>
    </row>
    <row r="193" ht="15.75" customHeight="1">
      <c r="A193" s="4"/>
      <c r="B193" s="4"/>
      <c r="D193" s="2"/>
      <c r="F193" s="2"/>
      <c r="G193" s="6"/>
      <c r="H193" s="6"/>
      <c r="I193" s="2"/>
      <c r="K193" s="6"/>
      <c r="L193" s="6"/>
      <c r="AZ193" s="4"/>
    </row>
    <row r="194" ht="15.75" customHeight="1">
      <c r="A194" s="4"/>
      <c r="B194" s="4"/>
      <c r="D194" s="2"/>
      <c r="F194" s="2"/>
      <c r="G194" s="6"/>
      <c r="H194" s="6"/>
      <c r="I194" s="2"/>
      <c r="K194" s="6"/>
      <c r="L194" s="6"/>
      <c r="AZ194" s="4"/>
    </row>
    <row r="195" ht="15.75" customHeight="1">
      <c r="A195" s="4"/>
      <c r="B195" s="4"/>
      <c r="D195" s="2"/>
      <c r="F195" s="2"/>
      <c r="G195" s="6"/>
      <c r="H195" s="6"/>
      <c r="I195" s="2"/>
      <c r="K195" s="6"/>
      <c r="L195" s="6"/>
      <c r="AZ195" s="4"/>
    </row>
    <row r="196" ht="15.75" customHeight="1">
      <c r="A196" s="4"/>
      <c r="B196" s="4"/>
      <c r="D196" s="2"/>
      <c r="F196" s="2"/>
      <c r="G196" s="6"/>
      <c r="H196" s="6"/>
      <c r="I196" s="2"/>
      <c r="K196" s="6"/>
      <c r="L196" s="6"/>
      <c r="AZ196" s="4"/>
    </row>
    <row r="197" ht="15.75" customHeight="1">
      <c r="A197" s="4"/>
      <c r="B197" s="4"/>
      <c r="D197" s="2"/>
      <c r="F197" s="2"/>
      <c r="G197" s="6"/>
      <c r="H197" s="6"/>
      <c r="I197" s="2"/>
      <c r="K197" s="6"/>
      <c r="L197" s="6"/>
      <c r="AZ197" s="4"/>
    </row>
    <row r="198" ht="15.75" customHeight="1">
      <c r="A198" s="4"/>
      <c r="B198" s="4"/>
      <c r="D198" s="2"/>
      <c r="F198" s="2"/>
      <c r="G198" s="6"/>
      <c r="H198" s="6"/>
      <c r="I198" s="2"/>
      <c r="K198" s="6"/>
      <c r="L198" s="6"/>
      <c r="AZ198" s="4"/>
    </row>
    <row r="199" ht="15.75" customHeight="1">
      <c r="A199" s="4"/>
      <c r="B199" s="4"/>
      <c r="D199" s="2"/>
      <c r="F199" s="2"/>
      <c r="G199" s="6"/>
      <c r="H199" s="6"/>
      <c r="I199" s="2"/>
      <c r="K199" s="6"/>
      <c r="L199" s="6"/>
      <c r="AZ199" s="4"/>
    </row>
    <row r="200" ht="15.75" customHeight="1">
      <c r="A200" s="4"/>
      <c r="B200" s="4"/>
      <c r="D200" s="2"/>
      <c r="F200" s="2"/>
      <c r="G200" s="6"/>
      <c r="H200" s="6"/>
      <c r="I200" s="2"/>
      <c r="K200" s="6"/>
      <c r="L200" s="6"/>
      <c r="AZ200" s="4"/>
    </row>
    <row r="201" ht="15.75" customHeight="1">
      <c r="A201" s="4"/>
      <c r="B201" s="4"/>
      <c r="D201" s="2"/>
      <c r="F201" s="2"/>
      <c r="G201" s="6"/>
      <c r="H201" s="6"/>
      <c r="I201" s="2"/>
      <c r="K201" s="6"/>
      <c r="L201" s="6"/>
      <c r="AZ201" s="4"/>
    </row>
    <row r="202" ht="15.75" customHeight="1">
      <c r="A202" s="4"/>
      <c r="B202" s="4"/>
      <c r="D202" s="2"/>
      <c r="F202" s="2"/>
      <c r="G202" s="6"/>
      <c r="H202" s="6"/>
      <c r="I202" s="2"/>
      <c r="K202" s="6"/>
      <c r="L202" s="6"/>
      <c r="AZ202" s="4"/>
    </row>
    <row r="203" ht="15.75" customHeight="1">
      <c r="A203" s="4"/>
      <c r="B203" s="4"/>
      <c r="D203" s="2"/>
      <c r="F203" s="2"/>
      <c r="G203" s="6"/>
      <c r="H203" s="6"/>
      <c r="I203" s="2"/>
      <c r="K203" s="6"/>
      <c r="L203" s="6"/>
      <c r="AZ203" s="4"/>
    </row>
    <row r="204" ht="15.75" customHeight="1">
      <c r="A204" s="4"/>
      <c r="B204" s="4"/>
      <c r="D204" s="2"/>
      <c r="F204" s="2"/>
      <c r="G204" s="6"/>
      <c r="H204" s="6"/>
      <c r="I204" s="2"/>
      <c r="K204" s="6"/>
      <c r="L204" s="6"/>
      <c r="AZ204" s="4"/>
    </row>
    <row r="205" ht="15.75" customHeight="1">
      <c r="A205" s="4"/>
      <c r="B205" s="4"/>
      <c r="D205" s="2"/>
      <c r="F205" s="2"/>
      <c r="G205" s="6"/>
      <c r="H205" s="6"/>
      <c r="I205" s="2"/>
      <c r="K205" s="6"/>
      <c r="L205" s="6"/>
      <c r="AZ205" s="4"/>
    </row>
    <row r="206" ht="15.75" customHeight="1">
      <c r="A206" s="4"/>
      <c r="B206" s="4"/>
      <c r="D206" s="2"/>
      <c r="F206" s="2"/>
      <c r="G206" s="6"/>
      <c r="H206" s="6"/>
      <c r="I206" s="2"/>
      <c r="K206" s="6"/>
      <c r="L206" s="6"/>
      <c r="AZ206" s="4"/>
    </row>
    <row r="207" ht="15.75" customHeight="1">
      <c r="A207" s="4"/>
      <c r="B207" s="4"/>
      <c r="D207" s="2"/>
      <c r="F207" s="2"/>
      <c r="G207" s="6"/>
      <c r="H207" s="6"/>
      <c r="I207" s="2"/>
      <c r="K207" s="6"/>
      <c r="L207" s="6"/>
      <c r="AZ207" s="4"/>
    </row>
    <row r="208" ht="15.75" customHeight="1">
      <c r="A208" s="4"/>
      <c r="B208" s="4"/>
      <c r="D208" s="2"/>
      <c r="F208" s="2"/>
      <c r="G208" s="6"/>
      <c r="H208" s="6"/>
      <c r="I208" s="2"/>
      <c r="K208" s="6"/>
      <c r="L208" s="6"/>
      <c r="AZ208" s="4"/>
    </row>
    <row r="209" ht="15.75" customHeight="1">
      <c r="A209" s="4"/>
      <c r="B209" s="4"/>
      <c r="D209" s="2"/>
      <c r="F209" s="2"/>
      <c r="G209" s="6"/>
      <c r="H209" s="6"/>
      <c r="I209" s="2"/>
      <c r="K209" s="6"/>
      <c r="L209" s="6"/>
      <c r="AZ209" s="4"/>
    </row>
    <row r="210" ht="15.75" customHeight="1">
      <c r="A210" s="4"/>
      <c r="B210" s="4"/>
      <c r="D210" s="2"/>
      <c r="F210" s="2"/>
      <c r="G210" s="6"/>
      <c r="H210" s="6"/>
      <c r="I210" s="2"/>
      <c r="K210" s="6"/>
      <c r="L210" s="6"/>
      <c r="AZ210" s="4"/>
    </row>
    <row r="211" ht="15.75" customHeight="1">
      <c r="A211" s="4"/>
      <c r="B211" s="4"/>
      <c r="D211" s="2"/>
      <c r="F211" s="2"/>
      <c r="G211" s="6"/>
      <c r="H211" s="6"/>
      <c r="I211" s="2"/>
      <c r="K211" s="6"/>
      <c r="L211" s="6"/>
      <c r="AZ211" s="4"/>
    </row>
    <row r="212" ht="15.75" customHeight="1">
      <c r="A212" s="4"/>
      <c r="B212" s="4"/>
      <c r="D212" s="2"/>
      <c r="F212" s="2"/>
      <c r="G212" s="6"/>
      <c r="H212" s="6"/>
      <c r="I212" s="2"/>
      <c r="K212" s="6"/>
      <c r="L212" s="6"/>
      <c r="AZ212" s="4"/>
    </row>
    <row r="213" ht="15.75" customHeight="1">
      <c r="A213" s="4"/>
      <c r="B213" s="4"/>
      <c r="D213" s="2"/>
      <c r="F213" s="2"/>
      <c r="G213" s="6"/>
      <c r="H213" s="6"/>
      <c r="I213" s="2"/>
      <c r="K213" s="6"/>
      <c r="L213" s="6"/>
      <c r="AZ213" s="4"/>
    </row>
    <row r="214" ht="15.75" customHeight="1">
      <c r="A214" s="4"/>
      <c r="B214" s="4"/>
      <c r="D214" s="2"/>
      <c r="F214" s="2"/>
      <c r="G214" s="6"/>
      <c r="H214" s="6"/>
      <c r="I214" s="2"/>
      <c r="K214" s="6"/>
      <c r="L214" s="6"/>
      <c r="AZ214" s="4"/>
    </row>
    <row r="215" ht="15.75" customHeight="1">
      <c r="A215" s="4"/>
      <c r="B215" s="4"/>
      <c r="D215" s="2"/>
      <c r="F215" s="2"/>
      <c r="G215" s="6"/>
      <c r="H215" s="6"/>
      <c r="I215" s="2"/>
      <c r="K215" s="6"/>
      <c r="L215" s="6"/>
      <c r="AZ215" s="4"/>
    </row>
    <row r="216" ht="15.75" customHeight="1">
      <c r="A216" s="4"/>
      <c r="B216" s="4"/>
      <c r="D216" s="2"/>
      <c r="F216" s="2"/>
      <c r="G216" s="6"/>
      <c r="H216" s="6"/>
      <c r="I216" s="2"/>
      <c r="K216" s="6"/>
      <c r="L216" s="6"/>
      <c r="AZ216" s="4"/>
    </row>
    <row r="217" ht="15.75" customHeight="1">
      <c r="A217" s="4"/>
      <c r="B217" s="4"/>
      <c r="D217" s="2"/>
      <c r="F217" s="2"/>
      <c r="G217" s="6"/>
      <c r="H217" s="6"/>
      <c r="I217" s="2"/>
      <c r="K217" s="6"/>
      <c r="L217" s="6"/>
      <c r="AZ217" s="4"/>
    </row>
    <row r="218" ht="15.75" customHeight="1">
      <c r="A218" s="4"/>
      <c r="B218" s="4"/>
      <c r="D218" s="2"/>
      <c r="F218" s="2"/>
      <c r="G218" s="6"/>
      <c r="H218" s="6"/>
      <c r="I218" s="2"/>
      <c r="K218" s="6"/>
      <c r="L218" s="6"/>
      <c r="AZ218" s="4"/>
    </row>
    <row r="219" ht="15.75" customHeight="1">
      <c r="A219" s="4"/>
      <c r="B219" s="4"/>
      <c r="D219" s="2"/>
      <c r="F219" s="2"/>
      <c r="G219" s="6"/>
      <c r="H219" s="6"/>
      <c r="I219" s="2"/>
      <c r="K219" s="6"/>
      <c r="L219" s="6"/>
      <c r="AZ219" s="4"/>
    </row>
    <row r="220" ht="15.75" customHeight="1">
      <c r="A220" s="4"/>
      <c r="B220" s="4"/>
      <c r="D220" s="2"/>
      <c r="F220" s="2"/>
      <c r="G220" s="6"/>
      <c r="H220" s="6"/>
      <c r="I220" s="2"/>
      <c r="K220" s="6"/>
      <c r="L220" s="6"/>
      <c r="AZ220" s="4"/>
    </row>
    <row r="221" ht="15.75" customHeight="1">
      <c r="A221" s="4"/>
      <c r="B221" s="4"/>
      <c r="D221" s="2"/>
      <c r="F221" s="2"/>
      <c r="G221" s="6"/>
      <c r="H221" s="6"/>
      <c r="I221" s="2"/>
      <c r="K221" s="6"/>
      <c r="L221" s="6"/>
      <c r="AZ221" s="4"/>
    </row>
    <row r="222" ht="15.75" customHeight="1">
      <c r="A222" s="4"/>
      <c r="B222" s="4"/>
      <c r="D222" s="2"/>
      <c r="F222" s="2"/>
      <c r="G222" s="6"/>
      <c r="H222" s="6"/>
      <c r="I222" s="2"/>
      <c r="K222" s="6"/>
      <c r="L222" s="6"/>
      <c r="AZ222" s="4"/>
    </row>
    <row r="223" ht="15.75" customHeight="1">
      <c r="A223" s="4"/>
      <c r="B223" s="4"/>
      <c r="D223" s="2"/>
      <c r="F223" s="2"/>
      <c r="G223" s="6"/>
      <c r="H223" s="6"/>
      <c r="I223" s="2"/>
      <c r="K223" s="6"/>
      <c r="L223" s="6"/>
      <c r="AZ223" s="4"/>
    </row>
    <row r="224" ht="15.75" customHeight="1">
      <c r="A224" s="4"/>
      <c r="B224" s="4"/>
      <c r="D224" s="2"/>
      <c r="F224" s="2"/>
      <c r="G224" s="6"/>
      <c r="H224" s="6"/>
      <c r="I224" s="2"/>
      <c r="K224" s="6"/>
      <c r="L224" s="6"/>
      <c r="AZ224" s="4"/>
    </row>
    <row r="225" ht="15.75" customHeight="1">
      <c r="A225" s="4"/>
      <c r="B225" s="4"/>
      <c r="D225" s="2"/>
      <c r="F225" s="2"/>
      <c r="G225" s="6"/>
      <c r="H225" s="6"/>
      <c r="I225" s="2"/>
      <c r="K225" s="6"/>
      <c r="L225" s="6"/>
      <c r="AZ225" s="4"/>
    </row>
    <row r="226" ht="15.75" customHeight="1">
      <c r="A226" s="4"/>
      <c r="B226" s="4"/>
      <c r="D226" s="2"/>
      <c r="F226" s="2"/>
      <c r="G226" s="6"/>
      <c r="H226" s="6"/>
      <c r="I226" s="2"/>
      <c r="K226" s="6"/>
      <c r="L226" s="6"/>
      <c r="AZ226" s="4"/>
    </row>
    <row r="227" ht="15.75" customHeight="1">
      <c r="A227" s="4"/>
      <c r="B227" s="4"/>
      <c r="D227" s="2"/>
      <c r="F227" s="2"/>
      <c r="G227" s="6"/>
      <c r="H227" s="6"/>
      <c r="I227" s="2"/>
      <c r="K227" s="6"/>
      <c r="L227" s="6"/>
      <c r="AZ227" s="4"/>
    </row>
    <row r="228" ht="15.75" customHeight="1">
      <c r="A228" s="4"/>
      <c r="B228" s="4"/>
      <c r="D228" s="2"/>
      <c r="F228" s="2"/>
      <c r="G228" s="6"/>
      <c r="H228" s="6"/>
      <c r="I228" s="2"/>
      <c r="K228" s="6"/>
      <c r="L228" s="6"/>
      <c r="AZ228" s="4"/>
    </row>
    <row r="229" ht="15.75" customHeight="1">
      <c r="A229" s="4"/>
      <c r="B229" s="4"/>
      <c r="D229" s="2"/>
      <c r="F229" s="2"/>
      <c r="G229" s="6"/>
      <c r="H229" s="6"/>
      <c r="I229" s="2"/>
      <c r="K229" s="6"/>
      <c r="L229" s="6"/>
      <c r="AZ229" s="4"/>
    </row>
    <row r="230" ht="15.75" customHeight="1">
      <c r="A230" s="4"/>
      <c r="B230" s="4"/>
      <c r="D230" s="2"/>
      <c r="F230" s="2"/>
      <c r="G230" s="6"/>
      <c r="H230" s="6"/>
      <c r="I230" s="2"/>
      <c r="K230" s="6"/>
      <c r="L230" s="6"/>
      <c r="AZ230" s="4"/>
    </row>
    <row r="231" ht="15.75" customHeight="1">
      <c r="A231" s="4"/>
      <c r="B231" s="4"/>
      <c r="D231" s="2"/>
      <c r="F231" s="2"/>
      <c r="G231" s="6"/>
      <c r="H231" s="6"/>
      <c r="I231" s="2"/>
      <c r="K231" s="6"/>
      <c r="L231" s="6"/>
      <c r="AZ231" s="4"/>
    </row>
    <row r="232" ht="15.75" customHeight="1">
      <c r="A232" s="4"/>
      <c r="B232" s="4"/>
      <c r="D232" s="2"/>
      <c r="F232" s="2"/>
      <c r="G232" s="6"/>
      <c r="H232" s="6"/>
      <c r="I232" s="2"/>
      <c r="K232" s="6"/>
      <c r="L232" s="6"/>
      <c r="AZ232" s="4"/>
    </row>
    <row r="233" ht="15.75" customHeight="1">
      <c r="A233" s="4"/>
      <c r="B233" s="4"/>
      <c r="D233" s="2"/>
      <c r="F233" s="2"/>
      <c r="G233" s="6"/>
      <c r="H233" s="6"/>
      <c r="I233" s="2"/>
      <c r="K233" s="6"/>
      <c r="L233" s="6"/>
      <c r="AZ233" s="4"/>
    </row>
    <row r="234" ht="15.75" customHeight="1">
      <c r="A234" s="4"/>
      <c r="B234" s="4"/>
      <c r="D234" s="2"/>
      <c r="F234" s="2"/>
      <c r="G234" s="6"/>
      <c r="H234" s="6"/>
      <c r="I234" s="2"/>
      <c r="K234" s="6"/>
      <c r="L234" s="6"/>
      <c r="AZ234" s="4"/>
    </row>
    <row r="235" ht="15.75" customHeight="1">
      <c r="A235" s="4"/>
      <c r="B235" s="4"/>
      <c r="D235" s="2"/>
      <c r="F235" s="2"/>
      <c r="G235" s="6"/>
      <c r="H235" s="6"/>
      <c r="I235" s="2"/>
      <c r="K235" s="6"/>
      <c r="L235" s="6"/>
      <c r="AZ235" s="4"/>
    </row>
    <row r="236" ht="15.75" customHeight="1">
      <c r="A236" s="4"/>
      <c r="B236" s="4"/>
      <c r="D236" s="2"/>
      <c r="F236" s="2"/>
      <c r="G236" s="6"/>
      <c r="H236" s="6"/>
      <c r="I236" s="2"/>
      <c r="K236" s="6"/>
      <c r="L236" s="6"/>
      <c r="AZ236" s="4"/>
    </row>
    <row r="237" ht="15.75" customHeight="1">
      <c r="A237" s="4"/>
      <c r="B237" s="4"/>
      <c r="D237" s="2"/>
      <c r="F237" s="2"/>
      <c r="G237" s="6"/>
      <c r="H237" s="6"/>
      <c r="I237" s="2"/>
      <c r="K237" s="6"/>
      <c r="L237" s="6"/>
      <c r="AZ237" s="4"/>
    </row>
    <row r="238" ht="15.75" customHeight="1">
      <c r="A238" s="4"/>
      <c r="B238" s="4"/>
      <c r="D238" s="2"/>
      <c r="F238" s="2"/>
      <c r="G238" s="6"/>
      <c r="H238" s="6"/>
      <c r="I238" s="2"/>
      <c r="K238" s="6"/>
      <c r="L238" s="6"/>
      <c r="AZ238" s="4"/>
    </row>
    <row r="239" ht="15.75" customHeight="1">
      <c r="A239" s="4"/>
      <c r="B239" s="4"/>
      <c r="D239" s="2"/>
      <c r="F239" s="2"/>
      <c r="G239" s="6"/>
      <c r="H239" s="6"/>
      <c r="I239" s="2"/>
      <c r="K239" s="6"/>
      <c r="L239" s="6"/>
      <c r="AZ239" s="4"/>
    </row>
    <row r="240" ht="15.75" customHeight="1">
      <c r="A240" s="4"/>
      <c r="B240" s="4"/>
      <c r="D240" s="2"/>
      <c r="F240" s="2"/>
      <c r="G240" s="6"/>
      <c r="H240" s="6"/>
      <c r="I240" s="2"/>
      <c r="K240" s="6"/>
      <c r="L240" s="6"/>
      <c r="AZ240" s="4"/>
    </row>
    <row r="241" ht="15.75" customHeight="1">
      <c r="A241" s="4"/>
      <c r="B241" s="4"/>
      <c r="D241" s="2"/>
      <c r="F241" s="2"/>
      <c r="G241" s="6"/>
      <c r="H241" s="6"/>
      <c r="I241" s="2"/>
      <c r="K241" s="6"/>
      <c r="L241" s="6"/>
      <c r="AZ241" s="4"/>
    </row>
    <row r="242" ht="15.75" customHeight="1">
      <c r="A242" s="4"/>
      <c r="B242" s="4"/>
      <c r="D242" s="2"/>
      <c r="F242" s="2"/>
      <c r="G242" s="6"/>
      <c r="H242" s="6"/>
      <c r="I242" s="2"/>
      <c r="K242" s="6"/>
      <c r="L242" s="6"/>
      <c r="AZ242" s="4"/>
    </row>
    <row r="243" ht="15.75" customHeight="1">
      <c r="A243" s="4"/>
      <c r="B243" s="4"/>
      <c r="D243" s="2"/>
      <c r="F243" s="2"/>
      <c r="G243" s="6"/>
      <c r="H243" s="6"/>
      <c r="I243" s="2"/>
      <c r="K243" s="6"/>
      <c r="L243" s="6"/>
      <c r="AZ243" s="4"/>
    </row>
    <row r="244" ht="15.75" customHeight="1">
      <c r="A244" s="4"/>
      <c r="B244" s="4"/>
      <c r="D244" s="2"/>
      <c r="F244" s="2"/>
      <c r="G244" s="6"/>
      <c r="H244" s="6"/>
      <c r="I244" s="2"/>
      <c r="K244" s="6"/>
      <c r="L244" s="6"/>
      <c r="AZ244" s="4"/>
    </row>
    <row r="245" ht="15.75" customHeight="1">
      <c r="A245" s="4"/>
      <c r="B245" s="4"/>
      <c r="D245" s="2"/>
      <c r="F245" s="2"/>
      <c r="G245" s="6"/>
      <c r="H245" s="6"/>
      <c r="I245" s="2"/>
      <c r="K245" s="6"/>
      <c r="L245" s="6"/>
      <c r="AZ245" s="4"/>
    </row>
    <row r="246" ht="15.75" customHeight="1">
      <c r="A246" s="4"/>
      <c r="B246" s="4"/>
      <c r="D246" s="2"/>
      <c r="F246" s="2"/>
      <c r="G246" s="6"/>
      <c r="H246" s="6"/>
      <c r="I246" s="2"/>
      <c r="K246" s="6"/>
      <c r="L246" s="6"/>
      <c r="AZ246" s="4"/>
    </row>
    <row r="247" ht="15.75" customHeight="1">
      <c r="A247" s="4"/>
      <c r="B247" s="4"/>
      <c r="D247" s="2"/>
      <c r="F247" s="2"/>
      <c r="G247" s="6"/>
      <c r="H247" s="6"/>
      <c r="I247" s="2"/>
      <c r="K247" s="6"/>
      <c r="L247" s="6"/>
      <c r="AZ247" s="4"/>
    </row>
    <row r="248" ht="15.75" customHeight="1">
      <c r="A248" s="4"/>
      <c r="B248" s="4"/>
      <c r="D248" s="2"/>
      <c r="F248" s="2"/>
      <c r="G248" s="6"/>
      <c r="H248" s="6"/>
      <c r="I248" s="2"/>
      <c r="K248" s="6"/>
      <c r="L248" s="6"/>
      <c r="AZ248" s="4"/>
    </row>
    <row r="249" ht="15.75" customHeight="1">
      <c r="A249" s="4"/>
      <c r="B249" s="4"/>
      <c r="D249" s="2"/>
      <c r="F249" s="2"/>
      <c r="G249" s="6"/>
      <c r="H249" s="6"/>
      <c r="I249" s="2"/>
      <c r="K249" s="6"/>
      <c r="L249" s="6"/>
      <c r="AZ249" s="4"/>
    </row>
    <row r="250" ht="15.75" customHeight="1">
      <c r="A250" s="4"/>
      <c r="B250" s="4"/>
      <c r="D250" s="2"/>
      <c r="F250" s="2"/>
      <c r="G250" s="6"/>
      <c r="H250" s="6"/>
      <c r="I250" s="2"/>
      <c r="K250" s="6"/>
      <c r="L250" s="6"/>
      <c r="AZ250" s="4"/>
    </row>
    <row r="251" ht="15.75" customHeight="1">
      <c r="A251" s="4"/>
      <c r="B251" s="4"/>
      <c r="D251" s="2"/>
      <c r="F251" s="2"/>
      <c r="G251" s="6"/>
      <c r="H251" s="6"/>
      <c r="I251" s="2"/>
      <c r="K251" s="6"/>
      <c r="L251" s="6"/>
      <c r="AZ251" s="4"/>
    </row>
    <row r="252" ht="15.75" customHeight="1">
      <c r="A252" s="4"/>
      <c r="B252" s="4"/>
      <c r="D252" s="2"/>
      <c r="F252" s="2"/>
      <c r="G252" s="6"/>
      <c r="H252" s="6"/>
      <c r="I252" s="2"/>
      <c r="K252" s="6"/>
      <c r="L252" s="6"/>
      <c r="AZ252" s="4"/>
    </row>
    <row r="253" ht="15.75" customHeight="1">
      <c r="A253" s="4"/>
      <c r="B253" s="4"/>
      <c r="D253" s="2"/>
      <c r="F253" s="2"/>
      <c r="G253" s="6"/>
      <c r="H253" s="6"/>
      <c r="I253" s="2"/>
      <c r="K253" s="6"/>
      <c r="L253" s="6"/>
      <c r="AZ253" s="4"/>
    </row>
    <row r="254" ht="15.75" customHeight="1">
      <c r="A254" s="4"/>
      <c r="B254" s="4"/>
      <c r="D254" s="2"/>
      <c r="F254" s="2"/>
      <c r="G254" s="6"/>
      <c r="H254" s="6"/>
      <c r="I254" s="2"/>
      <c r="K254" s="6"/>
      <c r="L254" s="6"/>
      <c r="AZ254" s="4"/>
    </row>
    <row r="255" ht="15.75" customHeight="1">
      <c r="A255" s="4"/>
      <c r="B255" s="4"/>
      <c r="D255" s="2"/>
      <c r="F255" s="2"/>
      <c r="G255" s="6"/>
      <c r="H255" s="6"/>
      <c r="I255" s="2"/>
      <c r="K255" s="6"/>
      <c r="L255" s="6"/>
      <c r="AZ255" s="4"/>
    </row>
    <row r="256" ht="15.75" customHeight="1">
      <c r="A256" s="4"/>
      <c r="B256" s="4"/>
      <c r="D256" s="2"/>
      <c r="F256" s="2"/>
      <c r="G256" s="6"/>
      <c r="H256" s="6"/>
      <c r="I256" s="2"/>
      <c r="K256" s="6"/>
      <c r="L256" s="6"/>
      <c r="AZ256" s="4"/>
    </row>
    <row r="257" ht="15.75" customHeight="1">
      <c r="A257" s="4"/>
      <c r="B257" s="4"/>
      <c r="D257" s="2"/>
      <c r="F257" s="2"/>
      <c r="G257" s="6"/>
      <c r="H257" s="6"/>
      <c r="I257" s="2"/>
      <c r="K257" s="6"/>
      <c r="L257" s="6"/>
      <c r="AZ257" s="4"/>
    </row>
    <row r="258" ht="15.75" customHeight="1">
      <c r="A258" s="4"/>
      <c r="B258" s="4"/>
      <c r="D258" s="2"/>
      <c r="F258" s="2"/>
      <c r="G258" s="6"/>
      <c r="H258" s="6"/>
      <c r="I258" s="2"/>
      <c r="K258" s="6"/>
      <c r="L258" s="6"/>
      <c r="AZ258" s="4"/>
    </row>
    <row r="259" ht="15.75" customHeight="1">
      <c r="A259" s="4"/>
      <c r="B259" s="4"/>
      <c r="D259" s="2"/>
      <c r="F259" s="2"/>
      <c r="G259" s="6"/>
      <c r="H259" s="6"/>
      <c r="I259" s="2"/>
      <c r="K259" s="6"/>
      <c r="L259" s="6"/>
      <c r="AZ259" s="4"/>
    </row>
    <row r="260" ht="15.75" customHeight="1">
      <c r="A260" s="4"/>
      <c r="B260" s="4"/>
      <c r="D260" s="2"/>
      <c r="F260" s="2"/>
      <c r="G260" s="6"/>
      <c r="H260" s="6"/>
      <c r="I260" s="2"/>
      <c r="K260" s="6"/>
      <c r="L260" s="6"/>
      <c r="AZ260" s="4"/>
    </row>
    <row r="261" ht="15.75" customHeight="1">
      <c r="A261" s="4"/>
      <c r="B261" s="4"/>
      <c r="D261" s="2"/>
      <c r="F261" s="2"/>
      <c r="G261" s="6"/>
      <c r="H261" s="6"/>
      <c r="I261" s="2"/>
      <c r="K261" s="6"/>
      <c r="L261" s="6"/>
      <c r="AZ261" s="4"/>
    </row>
    <row r="262" ht="15.75" customHeight="1">
      <c r="A262" s="4"/>
      <c r="B262" s="4"/>
      <c r="D262" s="2"/>
      <c r="F262" s="2"/>
      <c r="G262" s="6"/>
      <c r="H262" s="6"/>
      <c r="I262" s="2"/>
      <c r="K262" s="6"/>
      <c r="L262" s="6"/>
      <c r="AZ262" s="4"/>
    </row>
    <row r="263" ht="15.75" customHeight="1">
      <c r="A263" s="4"/>
      <c r="B263" s="4"/>
      <c r="D263" s="2"/>
      <c r="F263" s="2"/>
      <c r="G263" s="6"/>
      <c r="H263" s="6"/>
      <c r="I263" s="2"/>
      <c r="K263" s="6"/>
      <c r="L263" s="6"/>
      <c r="AZ263" s="4"/>
    </row>
    <row r="264" ht="15.75" customHeight="1">
      <c r="A264" s="4"/>
      <c r="B264" s="4"/>
      <c r="D264" s="2"/>
      <c r="F264" s="2"/>
      <c r="G264" s="6"/>
      <c r="H264" s="6"/>
      <c r="I264" s="2"/>
      <c r="K264" s="6"/>
      <c r="L264" s="6"/>
      <c r="AZ264" s="4"/>
    </row>
    <row r="265" ht="15.75" customHeight="1">
      <c r="A265" s="4"/>
      <c r="B265" s="4"/>
      <c r="D265" s="2"/>
      <c r="F265" s="2"/>
      <c r="G265" s="6"/>
      <c r="H265" s="6"/>
      <c r="I265" s="2"/>
      <c r="K265" s="6"/>
      <c r="L265" s="6"/>
      <c r="AZ265" s="4"/>
    </row>
    <row r="266" ht="15.75" customHeight="1">
      <c r="A266" s="4"/>
      <c r="B266" s="4"/>
      <c r="D266" s="2"/>
      <c r="F266" s="2"/>
      <c r="G266" s="6"/>
      <c r="H266" s="6"/>
      <c r="I266" s="2"/>
      <c r="K266" s="6"/>
      <c r="L266" s="6"/>
      <c r="AZ266" s="4"/>
    </row>
    <row r="267" ht="15.75" customHeight="1">
      <c r="A267" s="4"/>
      <c r="B267" s="4"/>
      <c r="D267" s="2"/>
      <c r="F267" s="2"/>
      <c r="G267" s="6"/>
      <c r="H267" s="6"/>
      <c r="I267" s="2"/>
      <c r="K267" s="6"/>
      <c r="L267" s="6"/>
      <c r="AZ267" s="4"/>
    </row>
    <row r="268" ht="15.75" customHeight="1">
      <c r="A268" s="4"/>
      <c r="B268" s="4"/>
      <c r="D268" s="2"/>
      <c r="F268" s="2"/>
      <c r="G268" s="6"/>
      <c r="H268" s="6"/>
      <c r="I268" s="2"/>
      <c r="K268" s="6"/>
      <c r="L268" s="6"/>
      <c r="AZ268" s="4"/>
    </row>
    <row r="269" ht="15.75" customHeight="1">
      <c r="A269" s="4"/>
      <c r="B269" s="4"/>
      <c r="D269" s="2"/>
      <c r="F269" s="2"/>
      <c r="G269" s="6"/>
      <c r="H269" s="6"/>
      <c r="I269" s="2"/>
      <c r="K269" s="6"/>
      <c r="L269" s="6"/>
      <c r="AZ269" s="4"/>
    </row>
    <row r="270" ht="15.75" customHeight="1">
      <c r="A270" s="4"/>
      <c r="B270" s="4"/>
      <c r="D270" s="2"/>
      <c r="F270" s="2"/>
      <c r="G270" s="6"/>
      <c r="H270" s="6"/>
      <c r="I270" s="2"/>
      <c r="K270" s="6"/>
      <c r="L270" s="6"/>
      <c r="AZ270" s="4"/>
    </row>
    <row r="271" ht="15.75" customHeight="1">
      <c r="A271" s="4"/>
      <c r="B271" s="4"/>
      <c r="D271" s="2"/>
      <c r="F271" s="2"/>
      <c r="G271" s="6"/>
      <c r="H271" s="6"/>
      <c r="I271" s="2"/>
      <c r="K271" s="6"/>
      <c r="L271" s="6"/>
      <c r="AZ271" s="4"/>
    </row>
    <row r="272" ht="15.75" customHeight="1">
      <c r="A272" s="4"/>
      <c r="B272" s="4"/>
      <c r="D272" s="2"/>
      <c r="F272" s="2"/>
      <c r="G272" s="6"/>
      <c r="H272" s="6"/>
      <c r="I272" s="2"/>
      <c r="K272" s="6"/>
      <c r="L272" s="6"/>
      <c r="AZ272" s="4"/>
    </row>
    <row r="273" ht="15.75" customHeight="1">
      <c r="A273" s="4"/>
      <c r="B273" s="4"/>
      <c r="D273" s="2"/>
      <c r="F273" s="2"/>
      <c r="G273" s="6"/>
      <c r="H273" s="6"/>
      <c r="I273" s="2"/>
      <c r="K273" s="6"/>
      <c r="L273" s="6"/>
      <c r="AZ273" s="4"/>
    </row>
    <row r="274" ht="15.75" customHeight="1">
      <c r="A274" s="4"/>
      <c r="B274" s="4"/>
      <c r="D274" s="2"/>
      <c r="F274" s="2"/>
      <c r="G274" s="6"/>
      <c r="H274" s="6"/>
      <c r="I274" s="2"/>
      <c r="K274" s="6"/>
      <c r="L274" s="6"/>
      <c r="AZ274" s="4"/>
    </row>
    <row r="275" ht="15.75" customHeight="1">
      <c r="A275" s="4"/>
      <c r="B275" s="4"/>
      <c r="D275" s="2"/>
      <c r="F275" s="2"/>
      <c r="G275" s="6"/>
      <c r="H275" s="6"/>
      <c r="I275" s="2"/>
      <c r="K275" s="6"/>
      <c r="L275" s="6"/>
      <c r="AZ275" s="4"/>
    </row>
    <row r="276" ht="15.75" customHeight="1">
      <c r="A276" s="4"/>
      <c r="B276" s="4"/>
      <c r="D276" s="2"/>
      <c r="F276" s="2"/>
      <c r="G276" s="6"/>
      <c r="H276" s="6"/>
      <c r="I276" s="2"/>
      <c r="K276" s="6"/>
      <c r="L276" s="6"/>
      <c r="AZ276" s="4"/>
    </row>
    <row r="277" ht="15.75" customHeight="1">
      <c r="A277" s="4"/>
      <c r="B277" s="4"/>
      <c r="D277" s="2"/>
      <c r="F277" s="2"/>
      <c r="G277" s="6"/>
      <c r="H277" s="6"/>
      <c r="I277" s="2"/>
      <c r="K277" s="6"/>
      <c r="L277" s="6"/>
      <c r="AZ277" s="4"/>
    </row>
    <row r="278" ht="15.75" customHeight="1">
      <c r="A278" s="4"/>
      <c r="B278" s="4"/>
      <c r="D278" s="2"/>
      <c r="F278" s="2"/>
      <c r="G278" s="6"/>
      <c r="H278" s="6"/>
      <c r="I278" s="2"/>
      <c r="K278" s="6"/>
      <c r="L278" s="6"/>
      <c r="AZ278" s="4"/>
    </row>
    <row r="279" ht="15.75" customHeight="1">
      <c r="A279" s="4"/>
      <c r="B279" s="4"/>
      <c r="D279" s="2"/>
      <c r="F279" s="2"/>
      <c r="G279" s="6"/>
      <c r="H279" s="6"/>
      <c r="I279" s="2"/>
      <c r="K279" s="6"/>
      <c r="L279" s="6"/>
      <c r="AZ279" s="4"/>
    </row>
    <row r="280" ht="15.75" customHeight="1">
      <c r="A280" s="4"/>
      <c r="B280" s="4"/>
      <c r="D280" s="2"/>
      <c r="F280" s="2"/>
      <c r="G280" s="6"/>
      <c r="H280" s="6"/>
      <c r="I280" s="2"/>
      <c r="K280" s="6"/>
      <c r="L280" s="6"/>
      <c r="AZ280" s="4"/>
    </row>
    <row r="281" ht="15.75" customHeight="1">
      <c r="A281" s="4"/>
      <c r="B281" s="4"/>
      <c r="D281" s="2"/>
      <c r="F281" s="2"/>
      <c r="G281" s="6"/>
      <c r="H281" s="6"/>
      <c r="I281" s="2"/>
      <c r="K281" s="6"/>
      <c r="L281" s="6"/>
      <c r="AZ281" s="4"/>
    </row>
    <row r="282" ht="15.75" customHeight="1">
      <c r="A282" s="4"/>
      <c r="B282" s="4"/>
      <c r="D282" s="2"/>
      <c r="F282" s="2"/>
      <c r="G282" s="6"/>
      <c r="H282" s="6"/>
      <c r="I282" s="2"/>
      <c r="K282" s="6"/>
      <c r="L282" s="6"/>
      <c r="AZ282" s="4"/>
    </row>
    <row r="283" ht="15.75" customHeight="1">
      <c r="A283" s="4"/>
      <c r="B283" s="4"/>
      <c r="D283" s="2"/>
      <c r="F283" s="2"/>
      <c r="G283" s="6"/>
      <c r="H283" s="6"/>
      <c r="I283" s="2"/>
      <c r="K283" s="6"/>
      <c r="L283" s="6"/>
      <c r="AZ283" s="4"/>
    </row>
    <row r="284" ht="15.75" customHeight="1">
      <c r="A284" s="4"/>
      <c r="B284" s="4"/>
      <c r="D284" s="2"/>
      <c r="F284" s="2"/>
      <c r="G284" s="6"/>
      <c r="H284" s="6"/>
      <c r="I284" s="2"/>
      <c r="K284" s="6"/>
      <c r="L284" s="6"/>
      <c r="AZ284" s="4"/>
    </row>
    <row r="285" ht="15.75" customHeight="1">
      <c r="A285" s="4"/>
      <c r="B285" s="4"/>
      <c r="D285" s="2"/>
      <c r="F285" s="2"/>
      <c r="G285" s="6"/>
      <c r="H285" s="6"/>
      <c r="I285" s="2"/>
      <c r="K285" s="6"/>
      <c r="L285" s="6"/>
      <c r="AZ285" s="4"/>
    </row>
    <row r="286" ht="15.75" customHeight="1">
      <c r="A286" s="4"/>
      <c r="B286" s="4"/>
      <c r="D286" s="2"/>
      <c r="F286" s="2"/>
      <c r="G286" s="6"/>
      <c r="H286" s="6"/>
      <c r="I286" s="2"/>
      <c r="K286" s="6"/>
      <c r="L286" s="6"/>
      <c r="AZ286" s="4"/>
    </row>
    <row r="287" ht="15.75" customHeight="1">
      <c r="A287" s="4"/>
      <c r="B287" s="4"/>
      <c r="D287" s="2"/>
      <c r="F287" s="2"/>
      <c r="G287" s="6"/>
      <c r="H287" s="6"/>
      <c r="I287" s="2"/>
      <c r="K287" s="6"/>
      <c r="L287" s="6"/>
      <c r="AZ287" s="4"/>
    </row>
    <row r="288" ht="15.75" customHeight="1">
      <c r="A288" s="4"/>
      <c r="B288" s="4"/>
      <c r="D288" s="2"/>
      <c r="F288" s="2"/>
      <c r="G288" s="6"/>
      <c r="H288" s="6"/>
      <c r="I288" s="2"/>
      <c r="K288" s="6"/>
      <c r="L288" s="6"/>
      <c r="AZ288" s="4"/>
    </row>
    <row r="289" ht="15.75" customHeight="1">
      <c r="A289" s="4"/>
      <c r="B289" s="4"/>
      <c r="D289" s="2"/>
      <c r="F289" s="2"/>
      <c r="G289" s="6"/>
      <c r="H289" s="6"/>
      <c r="I289" s="2"/>
      <c r="K289" s="6"/>
      <c r="L289" s="6"/>
      <c r="AZ289" s="4"/>
    </row>
    <row r="290" ht="15.75" customHeight="1">
      <c r="A290" s="4"/>
      <c r="B290" s="4"/>
      <c r="D290" s="2"/>
      <c r="F290" s="2"/>
      <c r="G290" s="6"/>
      <c r="H290" s="6"/>
      <c r="I290" s="2"/>
      <c r="K290" s="6"/>
      <c r="L290" s="6"/>
      <c r="AZ290" s="4"/>
    </row>
    <row r="291" ht="15.75" customHeight="1">
      <c r="A291" s="4"/>
      <c r="B291" s="4"/>
      <c r="D291" s="2"/>
      <c r="F291" s="2"/>
      <c r="G291" s="6"/>
      <c r="H291" s="6"/>
      <c r="I291" s="2"/>
      <c r="K291" s="6"/>
      <c r="L291" s="6"/>
      <c r="AZ291" s="4"/>
    </row>
    <row r="292" ht="15.75" customHeight="1">
      <c r="A292" s="4"/>
      <c r="B292" s="4"/>
      <c r="D292" s="2"/>
      <c r="F292" s="2"/>
      <c r="G292" s="6"/>
      <c r="H292" s="6"/>
      <c r="I292" s="2"/>
      <c r="K292" s="6"/>
      <c r="L292" s="6"/>
      <c r="AZ292" s="4"/>
    </row>
    <row r="293" ht="15.75" customHeight="1">
      <c r="A293" s="4"/>
      <c r="B293" s="4"/>
      <c r="D293" s="2"/>
      <c r="F293" s="2"/>
      <c r="G293" s="6"/>
      <c r="H293" s="6"/>
      <c r="I293" s="2"/>
      <c r="K293" s="6"/>
      <c r="L293" s="6"/>
      <c r="AZ293" s="4"/>
    </row>
    <row r="294" ht="15.75" customHeight="1">
      <c r="A294" s="4"/>
      <c r="B294" s="4"/>
      <c r="D294" s="2"/>
      <c r="F294" s="2"/>
      <c r="G294" s="6"/>
      <c r="H294" s="6"/>
      <c r="I294" s="2"/>
      <c r="K294" s="6"/>
      <c r="L294" s="6"/>
      <c r="AZ294" s="4"/>
    </row>
    <row r="295" ht="15.75" customHeight="1">
      <c r="A295" s="4"/>
      <c r="B295" s="4"/>
      <c r="D295" s="2"/>
      <c r="F295" s="2"/>
      <c r="G295" s="6"/>
      <c r="H295" s="6"/>
      <c r="I295" s="2"/>
      <c r="K295" s="6"/>
      <c r="L295" s="6"/>
      <c r="AZ295" s="4"/>
    </row>
    <row r="296" ht="15.75" customHeight="1">
      <c r="A296" s="4"/>
      <c r="B296" s="4"/>
      <c r="D296" s="2"/>
      <c r="F296" s="2"/>
      <c r="G296" s="6"/>
      <c r="H296" s="6"/>
      <c r="I296" s="2"/>
      <c r="K296" s="6"/>
      <c r="L296" s="6"/>
      <c r="AZ296" s="4"/>
    </row>
    <row r="297" ht="15.75" customHeight="1">
      <c r="A297" s="4"/>
      <c r="B297" s="4"/>
      <c r="D297" s="2"/>
      <c r="F297" s="2"/>
      <c r="G297" s="6"/>
      <c r="H297" s="6"/>
      <c r="I297" s="2"/>
      <c r="K297" s="6"/>
      <c r="L297" s="6"/>
      <c r="AZ297" s="4"/>
    </row>
    <row r="298" ht="15.75" customHeight="1">
      <c r="A298" s="4"/>
      <c r="B298" s="4"/>
      <c r="D298" s="2"/>
      <c r="F298" s="2"/>
      <c r="G298" s="6"/>
      <c r="H298" s="6"/>
      <c r="I298" s="2"/>
      <c r="K298" s="6"/>
      <c r="L298" s="6"/>
      <c r="AZ298" s="4"/>
    </row>
    <row r="299" ht="15.75" customHeight="1">
      <c r="A299" s="4"/>
      <c r="B299" s="4"/>
      <c r="D299" s="2"/>
      <c r="F299" s="2"/>
      <c r="G299" s="6"/>
      <c r="H299" s="6"/>
      <c r="I299" s="2"/>
      <c r="K299" s="6"/>
      <c r="L299" s="6"/>
      <c r="AZ299" s="4"/>
    </row>
    <row r="300" ht="15.75" customHeight="1">
      <c r="A300" s="4"/>
      <c r="B300" s="4"/>
      <c r="D300" s="2"/>
      <c r="F300" s="2"/>
      <c r="G300" s="6"/>
      <c r="H300" s="6"/>
      <c r="I300" s="2"/>
      <c r="K300" s="6"/>
      <c r="L300" s="6"/>
      <c r="AZ300" s="4"/>
    </row>
    <row r="301" ht="15.75" customHeight="1">
      <c r="A301" s="4"/>
      <c r="B301" s="4"/>
      <c r="D301" s="2"/>
      <c r="F301" s="2"/>
      <c r="G301" s="6"/>
      <c r="H301" s="6"/>
      <c r="I301" s="2"/>
      <c r="K301" s="6"/>
      <c r="L301" s="6"/>
      <c r="AZ301" s="4"/>
    </row>
    <row r="302" ht="15.75" customHeight="1">
      <c r="A302" s="4"/>
      <c r="B302" s="4"/>
      <c r="D302" s="2"/>
      <c r="F302" s="2"/>
      <c r="G302" s="6"/>
      <c r="H302" s="6"/>
      <c r="I302" s="2"/>
      <c r="K302" s="6"/>
      <c r="L302" s="6"/>
      <c r="AZ302" s="4"/>
    </row>
    <row r="303" ht="15.75" customHeight="1">
      <c r="A303" s="4"/>
      <c r="B303" s="4"/>
      <c r="D303" s="2"/>
      <c r="F303" s="2"/>
      <c r="G303" s="6"/>
      <c r="H303" s="6"/>
      <c r="I303" s="2"/>
      <c r="K303" s="6"/>
      <c r="L303" s="6"/>
      <c r="AZ303" s="4"/>
    </row>
    <row r="304" ht="15.75" customHeight="1">
      <c r="A304" s="4"/>
      <c r="B304" s="4"/>
      <c r="D304" s="2"/>
      <c r="F304" s="2"/>
      <c r="G304" s="6"/>
      <c r="H304" s="6"/>
      <c r="I304" s="2"/>
      <c r="K304" s="6"/>
      <c r="L304" s="6"/>
      <c r="AZ304" s="4"/>
    </row>
    <row r="305" ht="15.75" customHeight="1">
      <c r="A305" s="4"/>
      <c r="B305" s="4"/>
      <c r="D305" s="2"/>
      <c r="F305" s="2"/>
      <c r="G305" s="6"/>
      <c r="H305" s="6"/>
      <c r="I305" s="2"/>
      <c r="K305" s="6"/>
      <c r="L305" s="6"/>
      <c r="AZ305" s="4"/>
    </row>
    <row r="306" ht="15.75" customHeight="1">
      <c r="A306" s="4"/>
      <c r="B306" s="4"/>
      <c r="D306" s="2"/>
      <c r="F306" s="2"/>
      <c r="G306" s="6"/>
      <c r="H306" s="6"/>
      <c r="I306" s="2"/>
      <c r="K306" s="6"/>
      <c r="L306" s="6"/>
      <c r="AZ306" s="4"/>
    </row>
    <row r="307" ht="15.75" customHeight="1">
      <c r="A307" s="4"/>
      <c r="B307" s="4"/>
      <c r="D307" s="2"/>
      <c r="F307" s="2"/>
      <c r="G307" s="6"/>
      <c r="H307" s="6"/>
      <c r="I307" s="2"/>
      <c r="K307" s="6"/>
      <c r="L307" s="6"/>
      <c r="AZ307" s="4"/>
    </row>
    <row r="308" ht="15.75" customHeight="1">
      <c r="A308" s="4"/>
      <c r="B308" s="4"/>
      <c r="D308" s="2"/>
      <c r="F308" s="2"/>
      <c r="G308" s="6"/>
      <c r="H308" s="6"/>
      <c r="I308" s="2"/>
      <c r="K308" s="6"/>
      <c r="L308" s="6"/>
      <c r="AZ308" s="4"/>
    </row>
    <row r="309" ht="15.75" customHeight="1">
      <c r="A309" s="4"/>
      <c r="B309" s="4"/>
      <c r="D309" s="2"/>
      <c r="F309" s="2"/>
      <c r="G309" s="6"/>
      <c r="H309" s="6"/>
      <c r="I309" s="2"/>
      <c r="K309" s="6"/>
      <c r="L309" s="6"/>
      <c r="AZ309" s="4"/>
    </row>
    <row r="310" ht="15.75" customHeight="1">
      <c r="A310" s="4"/>
      <c r="B310" s="4"/>
      <c r="D310" s="2"/>
      <c r="F310" s="2"/>
      <c r="G310" s="6"/>
      <c r="H310" s="6"/>
      <c r="I310" s="2"/>
      <c r="K310" s="6"/>
      <c r="L310" s="6"/>
      <c r="AZ310" s="4"/>
    </row>
    <row r="311" ht="15.75" customHeight="1">
      <c r="A311" s="4"/>
      <c r="B311" s="4"/>
      <c r="D311" s="2"/>
      <c r="F311" s="2"/>
      <c r="G311" s="6"/>
      <c r="H311" s="6"/>
      <c r="I311" s="2"/>
      <c r="K311" s="6"/>
      <c r="L311" s="6"/>
      <c r="AZ311" s="4"/>
    </row>
    <row r="312" ht="15.75" customHeight="1">
      <c r="A312" s="4"/>
      <c r="B312" s="4"/>
      <c r="D312" s="2"/>
      <c r="F312" s="2"/>
      <c r="G312" s="6"/>
      <c r="H312" s="6"/>
      <c r="I312" s="2"/>
      <c r="K312" s="6"/>
      <c r="L312" s="6"/>
      <c r="AZ312" s="4"/>
    </row>
    <row r="313" ht="15.75" customHeight="1">
      <c r="A313" s="4"/>
      <c r="B313" s="4"/>
      <c r="D313" s="2"/>
      <c r="F313" s="2"/>
      <c r="G313" s="6"/>
      <c r="H313" s="6"/>
      <c r="I313" s="2"/>
      <c r="K313" s="6"/>
      <c r="L313" s="6"/>
      <c r="AZ313" s="4"/>
    </row>
    <row r="314" ht="15.75" customHeight="1">
      <c r="A314" s="4"/>
      <c r="B314" s="4"/>
      <c r="D314" s="2"/>
      <c r="F314" s="2"/>
      <c r="G314" s="6"/>
      <c r="H314" s="6"/>
      <c r="I314" s="2"/>
      <c r="K314" s="6"/>
      <c r="L314" s="6"/>
      <c r="AZ314" s="4"/>
    </row>
    <row r="315" ht="15.75" customHeight="1">
      <c r="A315" s="4"/>
      <c r="B315" s="4"/>
      <c r="D315" s="2"/>
      <c r="F315" s="2"/>
      <c r="G315" s="6"/>
      <c r="H315" s="6"/>
      <c r="I315" s="2"/>
      <c r="K315" s="6"/>
      <c r="L315" s="6"/>
      <c r="AZ315" s="4"/>
    </row>
    <row r="316" ht="15.75" customHeight="1">
      <c r="A316" s="4"/>
      <c r="B316" s="4"/>
      <c r="D316" s="2"/>
      <c r="F316" s="2"/>
      <c r="G316" s="6"/>
      <c r="H316" s="6"/>
      <c r="I316" s="2"/>
      <c r="K316" s="6"/>
      <c r="L316" s="6"/>
      <c r="AZ316" s="4"/>
    </row>
    <row r="317" ht="15.75" customHeight="1">
      <c r="A317" s="4"/>
      <c r="B317" s="4"/>
      <c r="D317" s="2"/>
      <c r="F317" s="2"/>
      <c r="G317" s="6"/>
      <c r="H317" s="6"/>
      <c r="I317" s="2"/>
      <c r="K317" s="6"/>
      <c r="L317" s="6"/>
      <c r="AZ317" s="4"/>
    </row>
    <row r="318" ht="15.75" customHeight="1">
      <c r="A318" s="4"/>
      <c r="B318" s="4"/>
      <c r="D318" s="2"/>
      <c r="F318" s="2"/>
      <c r="G318" s="6"/>
      <c r="H318" s="6"/>
      <c r="I318" s="2"/>
      <c r="K318" s="6"/>
      <c r="L318" s="6"/>
      <c r="AZ318" s="4"/>
    </row>
    <row r="319" ht="15.75" customHeight="1">
      <c r="A319" s="4"/>
      <c r="B319" s="4"/>
      <c r="D319" s="2"/>
      <c r="F319" s="2"/>
      <c r="G319" s="6"/>
      <c r="H319" s="6"/>
      <c r="I319" s="2"/>
      <c r="K319" s="6"/>
      <c r="L319" s="6"/>
      <c r="AZ319" s="4"/>
    </row>
    <row r="320" ht="15.75" customHeight="1">
      <c r="A320" s="4"/>
      <c r="B320" s="4"/>
      <c r="D320" s="2"/>
      <c r="F320" s="2"/>
      <c r="G320" s="6"/>
      <c r="H320" s="6"/>
      <c r="I320" s="2"/>
      <c r="K320" s="6"/>
      <c r="L320" s="6"/>
      <c r="AZ320" s="4"/>
    </row>
    <row r="321" ht="15.75" customHeight="1">
      <c r="A321" s="4"/>
      <c r="B321" s="4"/>
      <c r="D321" s="2"/>
      <c r="F321" s="2"/>
      <c r="G321" s="6"/>
      <c r="H321" s="6"/>
      <c r="I321" s="2"/>
      <c r="K321" s="6"/>
      <c r="L321" s="6"/>
      <c r="AZ321" s="4"/>
    </row>
    <row r="322" ht="15.75" customHeight="1">
      <c r="A322" s="4"/>
      <c r="B322" s="4"/>
      <c r="D322" s="2"/>
      <c r="F322" s="2"/>
      <c r="G322" s="6"/>
      <c r="H322" s="6"/>
      <c r="I322" s="2"/>
      <c r="K322" s="6"/>
      <c r="L322" s="6"/>
      <c r="AZ322" s="4"/>
    </row>
    <row r="323" ht="15.75" customHeight="1">
      <c r="A323" s="4"/>
      <c r="B323" s="4"/>
      <c r="D323" s="2"/>
      <c r="F323" s="2"/>
      <c r="G323" s="6"/>
      <c r="H323" s="6"/>
      <c r="I323" s="2"/>
      <c r="K323" s="6"/>
      <c r="L323" s="6"/>
      <c r="AZ323" s="4"/>
    </row>
    <row r="324" ht="15.75" customHeight="1">
      <c r="A324" s="4"/>
      <c r="B324" s="4"/>
      <c r="D324" s="2"/>
      <c r="F324" s="2"/>
      <c r="G324" s="6"/>
      <c r="H324" s="6"/>
      <c r="I324" s="2"/>
      <c r="K324" s="6"/>
      <c r="L324" s="6"/>
      <c r="AZ324" s="4"/>
    </row>
    <row r="325" ht="15.75" customHeight="1">
      <c r="A325" s="4"/>
      <c r="B325" s="4"/>
      <c r="D325" s="2"/>
      <c r="F325" s="2"/>
      <c r="G325" s="6"/>
      <c r="H325" s="6"/>
      <c r="I325" s="2"/>
      <c r="K325" s="6"/>
      <c r="L325" s="6"/>
      <c r="AZ325" s="4"/>
    </row>
    <row r="326" ht="15.75" customHeight="1">
      <c r="A326" s="4"/>
      <c r="B326" s="4"/>
      <c r="D326" s="2"/>
      <c r="F326" s="2"/>
      <c r="G326" s="6"/>
      <c r="H326" s="6"/>
      <c r="I326" s="2"/>
      <c r="K326" s="6"/>
      <c r="L326" s="6"/>
      <c r="AZ326" s="4"/>
    </row>
    <row r="327" ht="15.75" customHeight="1">
      <c r="A327" s="4"/>
      <c r="B327" s="4"/>
      <c r="D327" s="2"/>
      <c r="F327" s="2"/>
      <c r="G327" s="6"/>
      <c r="H327" s="6"/>
      <c r="I327" s="2"/>
      <c r="K327" s="6"/>
      <c r="L327" s="6"/>
      <c r="AZ327" s="4"/>
    </row>
    <row r="328" ht="15.75" customHeight="1">
      <c r="A328" s="4"/>
      <c r="B328" s="4"/>
      <c r="D328" s="2"/>
      <c r="F328" s="2"/>
      <c r="G328" s="6"/>
      <c r="H328" s="6"/>
      <c r="I328" s="2"/>
      <c r="K328" s="6"/>
      <c r="L328" s="6"/>
      <c r="AZ328" s="4"/>
    </row>
    <row r="329" ht="15.75" customHeight="1">
      <c r="A329" s="4"/>
      <c r="B329" s="4"/>
      <c r="D329" s="2"/>
      <c r="F329" s="2"/>
      <c r="G329" s="6"/>
      <c r="H329" s="6"/>
      <c r="I329" s="2"/>
      <c r="K329" s="6"/>
      <c r="L329" s="6"/>
      <c r="AZ329" s="4"/>
    </row>
    <row r="330" ht="15.75" customHeight="1">
      <c r="A330" s="4"/>
      <c r="B330" s="4"/>
      <c r="D330" s="2"/>
      <c r="F330" s="2"/>
      <c r="G330" s="6"/>
      <c r="H330" s="6"/>
      <c r="I330" s="2"/>
      <c r="K330" s="6"/>
      <c r="L330" s="6"/>
      <c r="AZ330" s="4"/>
    </row>
    <row r="331" ht="15.75" customHeight="1">
      <c r="A331" s="4"/>
      <c r="B331" s="4"/>
      <c r="D331" s="2"/>
      <c r="F331" s="2"/>
      <c r="G331" s="6"/>
      <c r="H331" s="6"/>
      <c r="I331" s="2"/>
      <c r="K331" s="6"/>
      <c r="L331" s="6"/>
      <c r="AZ331" s="4"/>
    </row>
    <row r="332" ht="15.75" customHeight="1">
      <c r="A332" s="4"/>
      <c r="B332" s="4"/>
      <c r="D332" s="2"/>
      <c r="F332" s="2"/>
      <c r="G332" s="6"/>
      <c r="H332" s="6"/>
      <c r="I332" s="2"/>
      <c r="K332" s="6"/>
      <c r="L332" s="6"/>
      <c r="AZ332" s="4"/>
    </row>
    <row r="333" ht="15.75" customHeight="1">
      <c r="A333" s="4"/>
      <c r="B333" s="4"/>
      <c r="D333" s="2"/>
      <c r="F333" s="2"/>
      <c r="G333" s="6"/>
      <c r="H333" s="6"/>
      <c r="I333" s="2"/>
      <c r="K333" s="6"/>
      <c r="L333" s="6"/>
      <c r="AZ333" s="4"/>
    </row>
    <row r="334" ht="15.75" customHeight="1">
      <c r="A334" s="4"/>
      <c r="B334" s="4"/>
      <c r="D334" s="2"/>
      <c r="F334" s="2"/>
      <c r="G334" s="6"/>
      <c r="H334" s="6"/>
      <c r="I334" s="2"/>
      <c r="K334" s="6"/>
      <c r="L334" s="6"/>
      <c r="AZ334" s="4"/>
    </row>
    <row r="335" ht="15.75" customHeight="1">
      <c r="A335" s="4"/>
      <c r="B335" s="4"/>
      <c r="D335" s="2"/>
      <c r="F335" s="2"/>
      <c r="G335" s="6"/>
      <c r="H335" s="6"/>
      <c r="I335" s="2"/>
      <c r="K335" s="6"/>
      <c r="L335" s="6"/>
      <c r="AZ335" s="4"/>
    </row>
    <row r="336" ht="15.75" customHeight="1">
      <c r="A336" s="4"/>
      <c r="B336" s="4"/>
      <c r="D336" s="2"/>
      <c r="F336" s="2"/>
      <c r="G336" s="6"/>
      <c r="H336" s="6"/>
      <c r="I336" s="2"/>
      <c r="K336" s="6"/>
      <c r="L336" s="6"/>
      <c r="AZ336" s="4"/>
    </row>
    <row r="337" ht="15.75" customHeight="1">
      <c r="A337" s="4"/>
      <c r="B337" s="4"/>
      <c r="D337" s="2"/>
      <c r="F337" s="2"/>
      <c r="G337" s="6"/>
      <c r="H337" s="6"/>
      <c r="I337" s="2"/>
      <c r="K337" s="6"/>
      <c r="L337" s="6"/>
      <c r="AZ337" s="4"/>
    </row>
    <row r="338" ht="15.75" customHeight="1">
      <c r="A338" s="4"/>
      <c r="B338" s="4"/>
      <c r="D338" s="2"/>
      <c r="F338" s="2"/>
      <c r="G338" s="6"/>
      <c r="H338" s="6"/>
      <c r="I338" s="2"/>
      <c r="K338" s="6"/>
      <c r="L338" s="6"/>
      <c r="AZ338" s="4"/>
    </row>
    <row r="339" ht="15.75" customHeight="1">
      <c r="A339" s="4"/>
      <c r="B339" s="4"/>
      <c r="D339" s="2"/>
      <c r="F339" s="2"/>
      <c r="G339" s="6"/>
      <c r="H339" s="6"/>
      <c r="I339" s="2"/>
      <c r="K339" s="6"/>
      <c r="L339" s="6"/>
      <c r="AZ339" s="4"/>
    </row>
    <row r="340" ht="15.75" customHeight="1">
      <c r="A340" s="4"/>
      <c r="B340" s="4"/>
      <c r="D340" s="2"/>
      <c r="F340" s="2"/>
      <c r="G340" s="6"/>
      <c r="H340" s="6"/>
      <c r="I340" s="2"/>
      <c r="K340" s="6"/>
      <c r="L340" s="6"/>
      <c r="AZ340" s="4"/>
    </row>
    <row r="341" ht="15.75" customHeight="1">
      <c r="A341" s="4"/>
      <c r="B341" s="4"/>
      <c r="D341" s="2"/>
      <c r="F341" s="2"/>
      <c r="G341" s="6"/>
      <c r="H341" s="6"/>
      <c r="I341" s="2"/>
      <c r="K341" s="6"/>
      <c r="L341" s="6"/>
      <c r="AZ341" s="4"/>
    </row>
    <row r="342" ht="15.75" customHeight="1">
      <c r="A342" s="4"/>
      <c r="B342" s="4"/>
      <c r="D342" s="2"/>
      <c r="F342" s="2"/>
      <c r="G342" s="6"/>
      <c r="H342" s="6"/>
      <c r="I342" s="2"/>
      <c r="K342" s="6"/>
      <c r="L342" s="6"/>
      <c r="AZ342" s="4"/>
    </row>
    <row r="343" ht="15.75" customHeight="1">
      <c r="A343" s="4"/>
      <c r="B343" s="4"/>
      <c r="D343" s="2"/>
      <c r="F343" s="2"/>
      <c r="G343" s="6"/>
      <c r="H343" s="6"/>
      <c r="I343" s="2"/>
      <c r="K343" s="6"/>
      <c r="L343" s="6"/>
      <c r="AZ343" s="4"/>
    </row>
    <row r="344" ht="15.75" customHeight="1">
      <c r="A344" s="4"/>
      <c r="B344" s="4"/>
      <c r="D344" s="2"/>
      <c r="F344" s="2"/>
      <c r="G344" s="6"/>
      <c r="H344" s="6"/>
      <c r="I344" s="2"/>
      <c r="K344" s="6"/>
      <c r="L344" s="6"/>
      <c r="AZ344" s="4"/>
    </row>
    <row r="345" ht="15.75" customHeight="1">
      <c r="A345" s="4"/>
      <c r="B345" s="4"/>
      <c r="D345" s="2"/>
      <c r="F345" s="2"/>
      <c r="G345" s="6"/>
      <c r="H345" s="6"/>
      <c r="I345" s="2"/>
      <c r="K345" s="6"/>
      <c r="L345" s="6"/>
      <c r="AZ345" s="4"/>
    </row>
    <row r="346" ht="15.75" customHeight="1">
      <c r="A346" s="4"/>
      <c r="B346" s="4"/>
      <c r="D346" s="2"/>
      <c r="F346" s="2"/>
      <c r="G346" s="6"/>
      <c r="H346" s="6"/>
      <c r="I346" s="2"/>
      <c r="K346" s="6"/>
      <c r="L346" s="6"/>
      <c r="AZ346" s="4"/>
    </row>
    <row r="347" ht="15.75" customHeight="1">
      <c r="A347" s="4"/>
      <c r="B347" s="4"/>
      <c r="D347" s="2"/>
      <c r="F347" s="2"/>
      <c r="G347" s="6"/>
      <c r="H347" s="6"/>
      <c r="I347" s="2"/>
      <c r="K347" s="6"/>
      <c r="L347" s="6"/>
      <c r="AZ347" s="4"/>
    </row>
    <row r="348" ht="15.75" customHeight="1">
      <c r="A348" s="4"/>
      <c r="B348" s="4"/>
      <c r="D348" s="2"/>
      <c r="F348" s="2"/>
      <c r="G348" s="6"/>
      <c r="H348" s="6"/>
      <c r="I348" s="2"/>
      <c r="K348" s="6"/>
      <c r="L348" s="6"/>
      <c r="AZ348" s="4"/>
    </row>
    <row r="349" ht="15.75" customHeight="1">
      <c r="A349" s="4"/>
      <c r="B349" s="4"/>
      <c r="D349" s="2"/>
      <c r="F349" s="2"/>
      <c r="G349" s="6"/>
      <c r="H349" s="6"/>
      <c r="I349" s="2"/>
      <c r="K349" s="6"/>
      <c r="L349" s="6"/>
      <c r="AZ349" s="4"/>
    </row>
    <row r="350" ht="15.75" customHeight="1">
      <c r="A350" s="4"/>
      <c r="B350" s="4"/>
      <c r="D350" s="2"/>
      <c r="F350" s="2"/>
      <c r="G350" s="6"/>
      <c r="H350" s="6"/>
      <c r="I350" s="2"/>
      <c r="K350" s="6"/>
      <c r="L350" s="6"/>
      <c r="AZ350" s="4"/>
    </row>
    <row r="351" ht="15.75" customHeight="1">
      <c r="A351" s="4"/>
      <c r="B351" s="4"/>
      <c r="D351" s="2"/>
      <c r="F351" s="2"/>
      <c r="G351" s="6"/>
      <c r="H351" s="6"/>
      <c r="I351" s="2"/>
      <c r="K351" s="6"/>
      <c r="L351" s="6"/>
      <c r="AZ351" s="4"/>
    </row>
    <row r="352" ht="15.75" customHeight="1">
      <c r="A352" s="4"/>
      <c r="B352" s="4"/>
      <c r="D352" s="2"/>
      <c r="F352" s="2"/>
      <c r="G352" s="6"/>
      <c r="H352" s="6"/>
      <c r="I352" s="2"/>
      <c r="K352" s="6"/>
      <c r="L352" s="6"/>
      <c r="AZ352" s="4"/>
    </row>
    <row r="353" ht="15.75" customHeight="1">
      <c r="A353" s="4"/>
      <c r="B353" s="4"/>
      <c r="D353" s="2"/>
      <c r="F353" s="2"/>
      <c r="G353" s="6"/>
      <c r="H353" s="6"/>
      <c r="I353" s="2"/>
      <c r="K353" s="6"/>
      <c r="L353" s="6"/>
      <c r="AZ353" s="4"/>
    </row>
    <row r="354" ht="15.75" customHeight="1">
      <c r="A354" s="4"/>
      <c r="B354" s="4"/>
      <c r="D354" s="2"/>
      <c r="F354" s="2"/>
      <c r="G354" s="6"/>
      <c r="H354" s="6"/>
      <c r="I354" s="2"/>
      <c r="K354" s="6"/>
      <c r="L354" s="6"/>
      <c r="AZ354" s="4"/>
    </row>
    <row r="355" ht="15.75" customHeight="1">
      <c r="A355" s="4"/>
      <c r="B355" s="4"/>
      <c r="D355" s="2"/>
      <c r="F355" s="2"/>
      <c r="G355" s="6"/>
      <c r="H355" s="6"/>
      <c r="I355" s="2"/>
      <c r="K355" s="6"/>
      <c r="L355" s="6"/>
      <c r="AZ355" s="4"/>
    </row>
    <row r="356" ht="15.75" customHeight="1">
      <c r="A356" s="4"/>
      <c r="B356" s="4"/>
      <c r="D356" s="2"/>
      <c r="F356" s="2"/>
      <c r="G356" s="6"/>
      <c r="H356" s="6"/>
      <c r="I356" s="2"/>
      <c r="K356" s="6"/>
      <c r="L356" s="6"/>
      <c r="AZ356" s="4"/>
    </row>
    <row r="357" ht="15.75" customHeight="1">
      <c r="A357" s="4"/>
      <c r="B357" s="4"/>
      <c r="D357" s="2"/>
      <c r="F357" s="2"/>
      <c r="G357" s="6"/>
      <c r="H357" s="6"/>
      <c r="I357" s="2"/>
      <c r="K357" s="6"/>
      <c r="L357" s="6"/>
      <c r="AZ357" s="4"/>
    </row>
    <row r="358" ht="15.75" customHeight="1">
      <c r="A358" s="4"/>
      <c r="B358" s="4"/>
      <c r="D358" s="2"/>
      <c r="F358" s="2"/>
      <c r="G358" s="6"/>
      <c r="H358" s="6"/>
      <c r="I358" s="2"/>
      <c r="K358" s="6"/>
      <c r="L358" s="6"/>
      <c r="AZ358" s="4"/>
    </row>
    <row r="359" ht="15.75" customHeight="1">
      <c r="A359" s="4"/>
      <c r="B359" s="4"/>
      <c r="D359" s="2"/>
      <c r="F359" s="2"/>
      <c r="G359" s="6"/>
      <c r="H359" s="6"/>
      <c r="I359" s="2"/>
      <c r="K359" s="6"/>
      <c r="L359" s="6"/>
      <c r="AZ359" s="4"/>
    </row>
    <row r="360" ht="15.75" customHeight="1">
      <c r="A360" s="4"/>
      <c r="B360" s="4"/>
      <c r="D360" s="2"/>
      <c r="F360" s="2"/>
      <c r="G360" s="6"/>
      <c r="H360" s="6"/>
      <c r="I360" s="2"/>
      <c r="K360" s="6"/>
      <c r="L360" s="6"/>
      <c r="AZ360" s="4"/>
    </row>
    <row r="361" ht="15.75" customHeight="1">
      <c r="A361" s="4"/>
      <c r="B361" s="4"/>
      <c r="D361" s="2"/>
      <c r="F361" s="2"/>
      <c r="G361" s="6"/>
      <c r="H361" s="6"/>
      <c r="I361" s="2"/>
      <c r="K361" s="6"/>
      <c r="L361" s="6"/>
      <c r="AZ361" s="4"/>
    </row>
    <row r="362" ht="15.75" customHeight="1">
      <c r="A362" s="4"/>
      <c r="B362" s="4"/>
      <c r="D362" s="2"/>
      <c r="F362" s="2"/>
      <c r="G362" s="6"/>
      <c r="H362" s="6"/>
      <c r="I362" s="2"/>
      <c r="K362" s="6"/>
      <c r="L362" s="6"/>
      <c r="AZ362" s="4"/>
    </row>
    <row r="363" ht="15.75" customHeight="1">
      <c r="A363" s="4"/>
      <c r="B363" s="4"/>
      <c r="D363" s="2"/>
      <c r="F363" s="2"/>
      <c r="G363" s="6"/>
      <c r="H363" s="6"/>
      <c r="I363" s="2"/>
      <c r="K363" s="6"/>
      <c r="L363" s="6"/>
      <c r="AZ363" s="4"/>
    </row>
    <row r="364" ht="15.75" customHeight="1">
      <c r="A364" s="4"/>
      <c r="B364" s="4"/>
      <c r="D364" s="2"/>
      <c r="F364" s="2"/>
      <c r="G364" s="6"/>
      <c r="H364" s="6"/>
      <c r="I364" s="2"/>
      <c r="K364" s="6"/>
      <c r="L364" s="6"/>
      <c r="AZ364" s="4"/>
    </row>
    <row r="365" ht="15.75" customHeight="1">
      <c r="A365" s="4"/>
      <c r="B365" s="4"/>
      <c r="D365" s="2"/>
      <c r="F365" s="2"/>
      <c r="G365" s="6"/>
      <c r="H365" s="6"/>
      <c r="I365" s="2"/>
      <c r="K365" s="6"/>
      <c r="L365" s="6"/>
      <c r="AZ365" s="4"/>
    </row>
    <row r="366" ht="15.75" customHeight="1">
      <c r="A366" s="4"/>
      <c r="B366" s="4"/>
      <c r="D366" s="2"/>
      <c r="F366" s="2"/>
      <c r="G366" s="6"/>
      <c r="H366" s="6"/>
      <c r="I366" s="2"/>
      <c r="K366" s="6"/>
      <c r="L366" s="6"/>
      <c r="AZ366" s="4"/>
    </row>
    <row r="367" ht="15.75" customHeight="1">
      <c r="A367" s="4"/>
      <c r="B367" s="4"/>
      <c r="D367" s="2"/>
      <c r="F367" s="2"/>
      <c r="G367" s="6"/>
      <c r="H367" s="6"/>
      <c r="I367" s="2"/>
      <c r="K367" s="6"/>
      <c r="L367" s="6"/>
      <c r="AZ367" s="4"/>
    </row>
    <row r="368" ht="15.75" customHeight="1">
      <c r="A368" s="4"/>
      <c r="B368" s="4"/>
      <c r="D368" s="2"/>
      <c r="F368" s="2"/>
      <c r="G368" s="6"/>
      <c r="H368" s="6"/>
      <c r="I368" s="2"/>
      <c r="K368" s="6"/>
      <c r="L368" s="6"/>
      <c r="AZ368" s="4"/>
    </row>
    <row r="369" ht="15.75" customHeight="1">
      <c r="A369" s="4"/>
      <c r="B369" s="4"/>
      <c r="D369" s="2"/>
      <c r="F369" s="2"/>
      <c r="G369" s="6"/>
      <c r="H369" s="6"/>
      <c r="I369" s="2"/>
      <c r="K369" s="6"/>
      <c r="L369" s="6"/>
      <c r="AZ369" s="4"/>
    </row>
    <row r="370" ht="15.75" customHeight="1">
      <c r="A370" s="4"/>
      <c r="B370" s="4"/>
      <c r="D370" s="2"/>
      <c r="F370" s="2"/>
      <c r="G370" s="6"/>
      <c r="H370" s="6"/>
      <c r="I370" s="2"/>
      <c r="K370" s="6"/>
      <c r="L370" s="6"/>
      <c r="AZ370" s="4"/>
    </row>
    <row r="371" ht="15.75" customHeight="1">
      <c r="A371" s="4"/>
      <c r="B371" s="4"/>
      <c r="D371" s="2"/>
      <c r="F371" s="2"/>
      <c r="G371" s="6"/>
      <c r="H371" s="6"/>
      <c r="I371" s="2"/>
      <c r="K371" s="6"/>
      <c r="L371" s="6"/>
      <c r="AZ371" s="4"/>
    </row>
    <row r="372" ht="15.75" customHeight="1">
      <c r="A372" s="4"/>
      <c r="B372" s="4"/>
      <c r="D372" s="2"/>
      <c r="F372" s="2"/>
      <c r="G372" s="6"/>
      <c r="H372" s="6"/>
      <c r="I372" s="2"/>
      <c r="K372" s="6"/>
      <c r="L372" s="6"/>
      <c r="AZ372" s="4"/>
    </row>
    <row r="373" ht="15.75" customHeight="1">
      <c r="A373" s="4"/>
      <c r="B373" s="4"/>
      <c r="D373" s="2"/>
      <c r="F373" s="2"/>
      <c r="G373" s="6"/>
      <c r="H373" s="6"/>
      <c r="I373" s="2"/>
      <c r="K373" s="6"/>
      <c r="L373" s="6"/>
      <c r="AZ373" s="4"/>
    </row>
    <row r="374" ht="15.75" customHeight="1">
      <c r="A374" s="4"/>
      <c r="B374" s="4"/>
      <c r="D374" s="2"/>
      <c r="F374" s="2"/>
      <c r="G374" s="6"/>
      <c r="H374" s="6"/>
      <c r="I374" s="2"/>
      <c r="K374" s="6"/>
      <c r="L374" s="6"/>
      <c r="AZ374" s="4"/>
    </row>
    <row r="375" ht="15.75" customHeight="1">
      <c r="A375" s="4"/>
      <c r="B375" s="4"/>
      <c r="D375" s="2"/>
      <c r="F375" s="2"/>
      <c r="G375" s="6"/>
      <c r="H375" s="6"/>
      <c r="I375" s="2"/>
      <c r="K375" s="6"/>
      <c r="L375" s="6"/>
      <c r="AZ375" s="4"/>
    </row>
    <row r="376" ht="15.75" customHeight="1">
      <c r="A376" s="4"/>
      <c r="B376" s="4"/>
      <c r="D376" s="2"/>
      <c r="F376" s="2"/>
      <c r="G376" s="6"/>
      <c r="H376" s="6"/>
      <c r="I376" s="2"/>
      <c r="K376" s="6"/>
      <c r="L376" s="6"/>
      <c r="AZ376" s="4"/>
    </row>
    <row r="377" ht="15.75" customHeight="1">
      <c r="A377" s="4"/>
      <c r="B377" s="4"/>
      <c r="D377" s="2"/>
      <c r="F377" s="2"/>
      <c r="G377" s="6"/>
      <c r="H377" s="6"/>
      <c r="I377" s="2"/>
      <c r="K377" s="6"/>
      <c r="L377" s="6"/>
      <c r="AZ377" s="4"/>
    </row>
    <row r="378" ht="15.75" customHeight="1">
      <c r="A378" s="4"/>
      <c r="B378" s="4"/>
      <c r="D378" s="2"/>
      <c r="F378" s="2"/>
      <c r="G378" s="6"/>
      <c r="H378" s="6"/>
      <c r="I378" s="2"/>
      <c r="K378" s="6"/>
      <c r="L378" s="6"/>
      <c r="AZ378" s="4"/>
    </row>
    <row r="379" ht="15.75" customHeight="1">
      <c r="A379" s="4"/>
      <c r="B379" s="4"/>
      <c r="D379" s="2"/>
      <c r="F379" s="2"/>
      <c r="G379" s="6"/>
      <c r="H379" s="6"/>
      <c r="I379" s="2"/>
      <c r="K379" s="6"/>
      <c r="L379" s="6"/>
      <c r="AZ379" s="4"/>
    </row>
    <row r="380" ht="15.75" customHeight="1">
      <c r="A380" s="4"/>
      <c r="B380" s="4"/>
      <c r="D380" s="2"/>
      <c r="F380" s="2"/>
      <c r="G380" s="6"/>
      <c r="H380" s="6"/>
      <c r="I380" s="2"/>
      <c r="K380" s="6"/>
      <c r="L380" s="6"/>
      <c r="AZ380" s="4"/>
    </row>
    <row r="381" ht="15.75" customHeight="1">
      <c r="A381" s="4"/>
      <c r="B381" s="4"/>
      <c r="D381" s="2"/>
      <c r="F381" s="2"/>
      <c r="G381" s="6"/>
      <c r="H381" s="6"/>
      <c r="I381" s="2"/>
      <c r="K381" s="6"/>
      <c r="L381" s="6"/>
      <c r="AZ381" s="4"/>
    </row>
    <row r="382" ht="15.75" customHeight="1">
      <c r="A382" s="4"/>
      <c r="B382" s="4"/>
      <c r="D382" s="2"/>
      <c r="F382" s="2"/>
      <c r="G382" s="6"/>
      <c r="H382" s="6"/>
      <c r="I382" s="2"/>
      <c r="K382" s="6"/>
      <c r="L382" s="6"/>
      <c r="AZ382" s="4"/>
    </row>
    <row r="383" ht="15.75" customHeight="1">
      <c r="A383" s="4"/>
      <c r="B383" s="4"/>
      <c r="D383" s="2"/>
      <c r="F383" s="2"/>
      <c r="G383" s="6"/>
      <c r="H383" s="6"/>
      <c r="I383" s="2"/>
      <c r="K383" s="6"/>
      <c r="L383" s="6"/>
      <c r="AZ383" s="4"/>
    </row>
    <row r="384" ht="15.75" customHeight="1">
      <c r="A384" s="4"/>
      <c r="B384" s="4"/>
      <c r="D384" s="2"/>
      <c r="F384" s="2"/>
      <c r="G384" s="6"/>
      <c r="H384" s="6"/>
      <c r="I384" s="2"/>
      <c r="K384" s="6"/>
      <c r="L384" s="6"/>
      <c r="AZ384" s="4"/>
    </row>
    <row r="385" ht="15.75" customHeight="1">
      <c r="A385" s="4"/>
      <c r="B385" s="4"/>
      <c r="D385" s="2"/>
      <c r="F385" s="2"/>
      <c r="G385" s="6"/>
      <c r="H385" s="6"/>
      <c r="I385" s="2"/>
      <c r="K385" s="6"/>
      <c r="L385" s="6"/>
      <c r="AZ385" s="4"/>
    </row>
    <row r="386" ht="15.75" customHeight="1">
      <c r="A386" s="4"/>
      <c r="B386" s="4"/>
      <c r="D386" s="2"/>
      <c r="F386" s="2"/>
      <c r="G386" s="6"/>
      <c r="H386" s="6"/>
      <c r="I386" s="2"/>
      <c r="K386" s="6"/>
      <c r="L386" s="6"/>
      <c r="AZ386" s="4"/>
    </row>
    <row r="387" ht="15.75" customHeight="1">
      <c r="A387" s="4"/>
      <c r="B387" s="4"/>
      <c r="D387" s="2"/>
      <c r="F387" s="2"/>
      <c r="G387" s="6"/>
      <c r="H387" s="6"/>
      <c r="I387" s="2"/>
      <c r="K387" s="6"/>
      <c r="L387" s="6"/>
      <c r="AZ387" s="4"/>
    </row>
    <row r="388" ht="15.75" customHeight="1">
      <c r="A388" s="4"/>
      <c r="B388" s="4"/>
      <c r="D388" s="2"/>
      <c r="F388" s="2"/>
      <c r="G388" s="6"/>
      <c r="H388" s="6"/>
      <c r="I388" s="2"/>
      <c r="K388" s="6"/>
      <c r="L388" s="6"/>
      <c r="AZ388" s="4"/>
    </row>
    <row r="389" ht="15.75" customHeight="1">
      <c r="A389" s="4"/>
      <c r="B389" s="4"/>
      <c r="D389" s="2"/>
      <c r="F389" s="2"/>
      <c r="G389" s="6"/>
      <c r="H389" s="6"/>
      <c r="I389" s="2"/>
      <c r="K389" s="6"/>
      <c r="L389" s="6"/>
      <c r="AZ389" s="4"/>
    </row>
    <row r="390" ht="15.75" customHeight="1">
      <c r="A390" s="4"/>
      <c r="B390" s="4"/>
      <c r="D390" s="2"/>
      <c r="F390" s="2"/>
      <c r="G390" s="6"/>
      <c r="H390" s="6"/>
      <c r="I390" s="2"/>
      <c r="K390" s="6"/>
      <c r="L390" s="6"/>
      <c r="AZ390" s="4"/>
    </row>
    <row r="391" ht="15.75" customHeight="1">
      <c r="A391" s="4"/>
      <c r="B391" s="4"/>
      <c r="D391" s="2"/>
      <c r="F391" s="2"/>
      <c r="G391" s="6"/>
      <c r="H391" s="6"/>
      <c r="I391" s="2"/>
      <c r="K391" s="6"/>
      <c r="L391" s="6"/>
      <c r="AZ391" s="4"/>
    </row>
    <row r="392" ht="15.75" customHeight="1">
      <c r="A392" s="4"/>
      <c r="B392" s="4"/>
      <c r="D392" s="2"/>
      <c r="F392" s="2"/>
      <c r="G392" s="6"/>
      <c r="H392" s="6"/>
      <c r="I392" s="2"/>
      <c r="K392" s="6"/>
      <c r="L392" s="6"/>
      <c r="AZ392" s="4"/>
    </row>
    <row r="393" ht="15.75" customHeight="1">
      <c r="A393" s="4"/>
      <c r="B393" s="4"/>
      <c r="D393" s="2"/>
      <c r="F393" s="2"/>
      <c r="G393" s="6"/>
      <c r="H393" s="6"/>
      <c r="I393" s="2"/>
      <c r="K393" s="6"/>
      <c r="L393" s="6"/>
      <c r="AZ393" s="4"/>
    </row>
    <row r="394" ht="15.75" customHeight="1">
      <c r="A394" s="4"/>
      <c r="B394" s="4"/>
      <c r="D394" s="2"/>
      <c r="F394" s="2"/>
      <c r="G394" s="6"/>
      <c r="H394" s="6"/>
      <c r="I394" s="2"/>
      <c r="K394" s="6"/>
      <c r="L394" s="6"/>
      <c r="AZ394" s="4"/>
    </row>
    <row r="395" ht="15.75" customHeight="1">
      <c r="A395" s="4"/>
      <c r="B395" s="4"/>
      <c r="D395" s="2"/>
      <c r="F395" s="2"/>
      <c r="G395" s="6"/>
      <c r="H395" s="6"/>
      <c r="I395" s="2"/>
      <c r="K395" s="6"/>
      <c r="L395" s="6"/>
      <c r="AZ395" s="4"/>
    </row>
    <row r="396" ht="15.75" customHeight="1">
      <c r="A396" s="4"/>
      <c r="B396" s="4"/>
      <c r="D396" s="2"/>
      <c r="F396" s="2"/>
      <c r="G396" s="6"/>
      <c r="H396" s="6"/>
      <c r="I396" s="2"/>
      <c r="K396" s="6"/>
      <c r="L396" s="6"/>
      <c r="AZ396" s="4"/>
    </row>
    <row r="397" ht="15.75" customHeight="1">
      <c r="A397" s="4"/>
      <c r="B397" s="4"/>
      <c r="D397" s="2"/>
      <c r="F397" s="2"/>
      <c r="G397" s="6"/>
      <c r="H397" s="6"/>
      <c r="I397" s="2"/>
      <c r="K397" s="6"/>
      <c r="L397" s="6"/>
      <c r="AZ397" s="4"/>
    </row>
    <row r="398" ht="15.75" customHeight="1">
      <c r="A398" s="4"/>
      <c r="B398" s="4"/>
      <c r="D398" s="2"/>
      <c r="F398" s="2"/>
      <c r="G398" s="6"/>
      <c r="H398" s="6"/>
      <c r="I398" s="2"/>
      <c r="K398" s="6"/>
      <c r="L398" s="6"/>
      <c r="AZ398" s="4"/>
    </row>
    <row r="399" ht="15.75" customHeight="1">
      <c r="A399" s="4"/>
      <c r="B399" s="4"/>
      <c r="D399" s="2"/>
      <c r="F399" s="2"/>
      <c r="G399" s="6"/>
      <c r="H399" s="6"/>
      <c r="I399" s="2"/>
      <c r="K399" s="6"/>
      <c r="L399" s="6"/>
      <c r="AZ399" s="4"/>
    </row>
    <row r="400" ht="15.75" customHeight="1">
      <c r="A400" s="4"/>
      <c r="B400" s="4"/>
      <c r="D400" s="2"/>
      <c r="F400" s="2"/>
      <c r="G400" s="6"/>
      <c r="H400" s="6"/>
      <c r="I400" s="2"/>
      <c r="K400" s="6"/>
      <c r="L400" s="6"/>
      <c r="AZ400" s="4"/>
    </row>
    <row r="401" ht="15.75" customHeight="1">
      <c r="A401" s="4"/>
      <c r="B401" s="4"/>
      <c r="D401" s="2"/>
      <c r="F401" s="2"/>
      <c r="G401" s="6"/>
      <c r="H401" s="6"/>
      <c r="I401" s="2"/>
      <c r="K401" s="6"/>
      <c r="L401" s="6"/>
      <c r="AZ401" s="4"/>
    </row>
    <row r="402" ht="15.75" customHeight="1">
      <c r="A402" s="4"/>
      <c r="B402" s="4"/>
      <c r="D402" s="2"/>
      <c r="F402" s="2"/>
      <c r="G402" s="6"/>
      <c r="H402" s="6"/>
      <c r="I402" s="2"/>
      <c r="K402" s="6"/>
      <c r="L402" s="6"/>
      <c r="AZ402" s="4"/>
    </row>
    <row r="403" ht="15.75" customHeight="1">
      <c r="A403" s="4"/>
      <c r="B403" s="4"/>
      <c r="D403" s="2"/>
      <c r="F403" s="2"/>
      <c r="G403" s="6"/>
      <c r="H403" s="6"/>
      <c r="I403" s="2"/>
      <c r="K403" s="6"/>
      <c r="L403" s="6"/>
      <c r="AZ403" s="4"/>
    </row>
    <row r="404" ht="15.75" customHeight="1">
      <c r="A404" s="4"/>
      <c r="B404" s="4"/>
      <c r="D404" s="2"/>
      <c r="F404" s="2"/>
      <c r="G404" s="6"/>
      <c r="H404" s="6"/>
      <c r="I404" s="2"/>
      <c r="K404" s="6"/>
      <c r="L404" s="6"/>
      <c r="AZ404" s="4"/>
    </row>
    <row r="405" ht="15.75" customHeight="1">
      <c r="A405" s="4"/>
      <c r="B405" s="4"/>
      <c r="D405" s="2"/>
      <c r="F405" s="2"/>
      <c r="G405" s="6"/>
      <c r="H405" s="6"/>
      <c r="I405" s="2"/>
      <c r="K405" s="6"/>
      <c r="L405" s="6"/>
      <c r="AZ405" s="4"/>
    </row>
    <row r="406" ht="15.75" customHeight="1">
      <c r="A406" s="4"/>
      <c r="B406" s="4"/>
      <c r="D406" s="2"/>
      <c r="F406" s="2"/>
      <c r="G406" s="6"/>
      <c r="H406" s="6"/>
      <c r="I406" s="2"/>
      <c r="K406" s="6"/>
      <c r="L406" s="6"/>
      <c r="AZ406" s="4"/>
    </row>
    <row r="407" ht="15.75" customHeight="1">
      <c r="A407" s="4"/>
      <c r="B407" s="4"/>
      <c r="D407" s="2"/>
      <c r="F407" s="2"/>
      <c r="G407" s="6"/>
      <c r="H407" s="6"/>
      <c r="I407" s="2"/>
      <c r="K407" s="6"/>
      <c r="L407" s="6"/>
      <c r="AZ407" s="4"/>
    </row>
    <row r="408" ht="15.75" customHeight="1">
      <c r="A408" s="4"/>
      <c r="B408" s="4"/>
      <c r="D408" s="2"/>
      <c r="F408" s="2"/>
      <c r="G408" s="6"/>
      <c r="H408" s="6"/>
      <c r="I408" s="2"/>
      <c r="K408" s="6"/>
      <c r="L408" s="6"/>
      <c r="AZ408" s="4"/>
    </row>
    <row r="409" ht="15.75" customHeight="1">
      <c r="A409" s="4"/>
      <c r="B409" s="4"/>
      <c r="D409" s="2"/>
      <c r="F409" s="2"/>
      <c r="G409" s="6"/>
      <c r="H409" s="6"/>
      <c r="I409" s="2"/>
      <c r="K409" s="6"/>
      <c r="L409" s="6"/>
      <c r="AZ409" s="4"/>
    </row>
    <row r="410" ht="15.75" customHeight="1">
      <c r="A410" s="4"/>
      <c r="B410" s="4"/>
      <c r="D410" s="2"/>
      <c r="F410" s="2"/>
      <c r="G410" s="6"/>
      <c r="H410" s="6"/>
      <c r="I410" s="2"/>
      <c r="K410" s="6"/>
      <c r="L410" s="6"/>
      <c r="AZ410" s="4"/>
    </row>
    <row r="411" ht="15.75" customHeight="1">
      <c r="A411" s="4"/>
      <c r="B411" s="4"/>
      <c r="D411" s="2"/>
      <c r="F411" s="2"/>
      <c r="G411" s="6"/>
      <c r="H411" s="6"/>
      <c r="I411" s="2"/>
      <c r="K411" s="6"/>
      <c r="L411" s="6"/>
      <c r="AZ411" s="4"/>
    </row>
    <row r="412" ht="15.75" customHeight="1">
      <c r="A412" s="4"/>
      <c r="B412" s="4"/>
      <c r="D412" s="2"/>
      <c r="F412" s="2"/>
      <c r="G412" s="6"/>
      <c r="H412" s="6"/>
      <c r="I412" s="2"/>
      <c r="K412" s="6"/>
      <c r="L412" s="6"/>
      <c r="AZ412" s="4"/>
    </row>
    <row r="413" ht="15.75" customHeight="1">
      <c r="A413" s="4"/>
      <c r="B413" s="4"/>
      <c r="D413" s="2"/>
      <c r="F413" s="2"/>
      <c r="G413" s="6"/>
      <c r="H413" s="6"/>
      <c r="I413" s="2"/>
      <c r="K413" s="6"/>
      <c r="L413" s="6"/>
      <c r="AZ413" s="4"/>
    </row>
    <row r="414" ht="15.75" customHeight="1">
      <c r="A414" s="4"/>
      <c r="B414" s="4"/>
      <c r="D414" s="2"/>
      <c r="F414" s="2"/>
      <c r="G414" s="6"/>
      <c r="H414" s="6"/>
      <c r="I414" s="2"/>
      <c r="K414" s="6"/>
      <c r="L414" s="6"/>
      <c r="AZ414" s="4"/>
    </row>
    <row r="415" ht="15.75" customHeight="1">
      <c r="A415" s="4"/>
      <c r="B415" s="4"/>
      <c r="D415" s="2"/>
      <c r="F415" s="2"/>
      <c r="G415" s="6"/>
      <c r="H415" s="6"/>
      <c r="I415" s="2"/>
      <c r="K415" s="6"/>
      <c r="L415" s="6"/>
      <c r="AZ415" s="4"/>
    </row>
    <row r="416" ht="15.75" customHeight="1">
      <c r="A416" s="4"/>
      <c r="B416" s="4"/>
      <c r="D416" s="2"/>
      <c r="F416" s="2"/>
      <c r="G416" s="6"/>
      <c r="H416" s="6"/>
      <c r="I416" s="2"/>
      <c r="K416" s="6"/>
      <c r="L416" s="6"/>
      <c r="AZ416" s="4"/>
    </row>
    <row r="417" ht="15.75" customHeight="1">
      <c r="A417" s="4"/>
      <c r="B417" s="4"/>
      <c r="D417" s="2"/>
      <c r="F417" s="2"/>
      <c r="G417" s="6"/>
      <c r="H417" s="6"/>
      <c r="I417" s="2"/>
      <c r="K417" s="6"/>
      <c r="L417" s="6"/>
      <c r="AZ417" s="4"/>
    </row>
    <row r="418" ht="15.75" customHeight="1">
      <c r="A418" s="4"/>
      <c r="B418" s="4"/>
      <c r="D418" s="2"/>
      <c r="F418" s="2"/>
      <c r="G418" s="6"/>
      <c r="H418" s="6"/>
      <c r="I418" s="2"/>
      <c r="K418" s="6"/>
      <c r="L418" s="6"/>
      <c r="AZ418" s="4"/>
    </row>
    <row r="419" ht="15.75" customHeight="1">
      <c r="A419" s="4"/>
      <c r="B419" s="4"/>
      <c r="D419" s="2"/>
      <c r="F419" s="2"/>
      <c r="G419" s="6"/>
      <c r="H419" s="6"/>
      <c r="I419" s="2"/>
      <c r="K419" s="6"/>
      <c r="L419" s="6"/>
      <c r="AZ419" s="4"/>
    </row>
    <row r="420" ht="15.75" customHeight="1">
      <c r="A420" s="4"/>
      <c r="B420" s="4"/>
      <c r="D420" s="2"/>
      <c r="F420" s="2"/>
      <c r="G420" s="6"/>
      <c r="H420" s="6"/>
      <c r="I420" s="2"/>
      <c r="K420" s="6"/>
      <c r="L420" s="6"/>
      <c r="AZ420" s="4"/>
    </row>
    <row r="421" ht="15.75" customHeight="1">
      <c r="A421" s="4"/>
      <c r="B421" s="4"/>
      <c r="D421" s="2"/>
      <c r="F421" s="2"/>
      <c r="G421" s="6"/>
      <c r="H421" s="6"/>
      <c r="I421" s="2"/>
      <c r="K421" s="6"/>
      <c r="L421" s="6"/>
      <c r="AZ421" s="4"/>
    </row>
    <row r="422" ht="15.75" customHeight="1">
      <c r="A422" s="4"/>
      <c r="B422" s="4"/>
      <c r="D422" s="2"/>
      <c r="F422" s="2"/>
      <c r="G422" s="6"/>
      <c r="H422" s="6"/>
      <c r="I422" s="2"/>
      <c r="K422" s="6"/>
      <c r="L422" s="6"/>
      <c r="AZ422" s="4"/>
    </row>
    <row r="423" ht="15.75" customHeight="1">
      <c r="A423" s="4"/>
      <c r="B423" s="4"/>
      <c r="D423" s="2"/>
      <c r="F423" s="2"/>
      <c r="G423" s="6"/>
      <c r="H423" s="6"/>
      <c r="I423" s="2"/>
      <c r="K423" s="6"/>
      <c r="L423" s="6"/>
      <c r="AZ423" s="4"/>
    </row>
    <row r="424" ht="15.75" customHeight="1">
      <c r="A424" s="4"/>
      <c r="B424" s="4"/>
      <c r="D424" s="2"/>
      <c r="F424" s="2"/>
      <c r="G424" s="6"/>
      <c r="H424" s="6"/>
      <c r="I424" s="2"/>
      <c r="K424" s="6"/>
      <c r="L424" s="6"/>
      <c r="AZ424" s="4"/>
    </row>
    <row r="425" ht="15.75" customHeight="1">
      <c r="A425" s="4"/>
      <c r="B425" s="4"/>
      <c r="D425" s="2"/>
      <c r="F425" s="2"/>
      <c r="G425" s="6"/>
      <c r="H425" s="6"/>
      <c r="I425" s="2"/>
      <c r="K425" s="6"/>
      <c r="L425" s="6"/>
      <c r="AZ425" s="4"/>
    </row>
    <row r="426" ht="15.75" customHeight="1">
      <c r="A426" s="4"/>
      <c r="B426" s="4"/>
      <c r="D426" s="2"/>
      <c r="F426" s="2"/>
      <c r="G426" s="6"/>
      <c r="H426" s="6"/>
      <c r="I426" s="2"/>
      <c r="K426" s="6"/>
      <c r="L426" s="6"/>
      <c r="AZ426" s="4"/>
    </row>
    <row r="427" ht="15.75" customHeight="1">
      <c r="A427" s="4"/>
      <c r="B427" s="4"/>
      <c r="D427" s="2"/>
      <c r="F427" s="2"/>
      <c r="G427" s="6"/>
      <c r="H427" s="6"/>
      <c r="I427" s="2"/>
      <c r="K427" s="6"/>
      <c r="L427" s="6"/>
      <c r="AZ427" s="4"/>
    </row>
    <row r="428" ht="15.75" customHeight="1">
      <c r="A428" s="4"/>
      <c r="B428" s="4"/>
      <c r="D428" s="2"/>
      <c r="F428" s="2"/>
      <c r="G428" s="6"/>
      <c r="H428" s="6"/>
      <c r="I428" s="2"/>
      <c r="K428" s="6"/>
      <c r="L428" s="6"/>
      <c r="AZ428" s="4"/>
    </row>
    <row r="429" ht="15.75" customHeight="1">
      <c r="A429" s="4"/>
      <c r="B429" s="4"/>
      <c r="D429" s="2"/>
      <c r="F429" s="2"/>
      <c r="G429" s="6"/>
      <c r="H429" s="6"/>
      <c r="I429" s="2"/>
      <c r="K429" s="6"/>
      <c r="L429" s="6"/>
      <c r="AZ429" s="4"/>
    </row>
    <row r="430" ht="15.75" customHeight="1">
      <c r="A430" s="4"/>
      <c r="B430" s="4"/>
      <c r="D430" s="2"/>
      <c r="F430" s="2"/>
      <c r="G430" s="6"/>
      <c r="H430" s="6"/>
      <c r="I430" s="2"/>
      <c r="K430" s="6"/>
      <c r="L430" s="6"/>
      <c r="AZ430" s="4"/>
    </row>
    <row r="431" ht="15.75" customHeight="1">
      <c r="A431" s="4"/>
      <c r="B431" s="4"/>
      <c r="D431" s="2"/>
      <c r="F431" s="2"/>
      <c r="G431" s="6"/>
      <c r="H431" s="6"/>
      <c r="I431" s="2"/>
      <c r="K431" s="6"/>
      <c r="L431" s="6"/>
      <c r="AZ431" s="4"/>
    </row>
    <row r="432" ht="15.75" customHeight="1">
      <c r="A432" s="4"/>
      <c r="B432" s="4"/>
      <c r="D432" s="2"/>
      <c r="F432" s="2"/>
      <c r="G432" s="6"/>
      <c r="H432" s="6"/>
      <c r="I432" s="2"/>
      <c r="K432" s="6"/>
      <c r="L432" s="6"/>
      <c r="AZ432" s="4"/>
    </row>
    <row r="433" ht="15.75" customHeight="1">
      <c r="A433" s="4"/>
      <c r="B433" s="4"/>
      <c r="D433" s="2"/>
      <c r="F433" s="2"/>
      <c r="G433" s="6"/>
      <c r="H433" s="6"/>
      <c r="I433" s="2"/>
      <c r="K433" s="6"/>
      <c r="L433" s="6"/>
      <c r="AZ433" s="4"/>
    </row>
    <row r="434" ht="15.75" customHeight="1">
      <c r="A434" s="4"/>
      <c r="B434" s="4"/>
      <c r="D434" s="2"/>
      <c r="F434" s="2"/>
      <c r="G434" s="6"/>
      <c r="H434" s="6"/>
      <c r="I434" s="2"/>
      <c r="K434" s="6"/>
      <c r="L434" s="6"/>
      <c r="AZ434" s="4"/>
    </row>
    <row r="435" ht="15.75" customHeight="1">
      <c r="A435" s="4"/>
      <c r="B435" s="4"/>
      <c r="D435" s="2"/>
      <c r="F435" s="2"/>
      <c r="G435" s="6"/>
      <c r="H435" s="6"/>
      <c r="I435" s="2"/>
      <c r="K435" s="6"/>
      <c r="L435" s="6"/>
      <c r="AZ435" s="4"/>
    </row>
    <row r="436" ht="15.75" customHeight="1">
      <c r="A436" s="4"/>
      <c r="B436" s="4"/>
      <c r="D436" s="2"/>
      <c r="F436" s="2"/>
      <c r="G436" s="6"/>
      <c r="H436" s="6"/>
      <c r="I436" s="2"/>
      <c r="K436" s="6"/>
      <c r="L436" s="6"/>
      <c r="AZ436" s="4"/>
    </row>
    <row r="437" ht="15.75" customHeight="1">
      <c r="A437" s="4"/>
      <c r="B437" s="4"/>
      <c r="D437" s="2"/>
      <c r="F437" s="2"/>
      <c r="G437" s="6"/>
      <c r="H437" s="6"/>
      <c r="I437" s="2"/>
      <c r="K437" s="6"/>
      <c r="L437" s="6"/>
      <c r="AZ437" s="4"/>
    </row>
    <row r="438" ht="15.75" customHeight="1">
      <c r="A438" s="4"/>
      <c r="B438" s="4"/>
      <c r="D438" s="2"/>
      <c r="F438" s="2"/>
      <c r="G438" s="6"/>
      <c r="H438" s="6"/>
      <c r="I438" s="2"/>
      <c r="K438" s="6"/>
      <c r="L438" s="6"/>
      <c r="AZ438" s="4"/>
    </row>
    <row r="439" ht="15.75" customHeight="1">
      <c r="A439" s="4"/>
      <c r="B439" s="4"/>
      <c r="D439" s="2"/>
      <c r="F439" s="2"/>
      <c r="G439" s="6"/>
      <c r="H439" s="6"/>
      <c r="I439" s="2"/>
      <c r="K439" s="6"/>
      <c r="L439" s="6"/>
      <c r="AZ439" s="4"/>
    </row>
    <row r="440" ht="15.75" customHeight="1">
      <c r="A440" s="4"/>
      <c r="B440" s="4"/>
      <c r="D440" s="2"/>
      <c r="F440" s="2"/>
      <c r="G440" s="6"/>
      <c r="H440" s="6"/>
      <c r="I440" s="2"/>
      <c r="K440" s="6"/>
      <c r="L440" s="6"/>
      <c r="AZ440" s="4"/>
    </row>
    <row r="441" ht="15.75" customHeight="1">
      <c r="A441" s="4"/>
      <c r="B441" s="4"/>
      <c r="D441" s="2"/>
      <c r="F441" s="2"/>
      <c r="G441" s="6"/>
      <c r="H441" s="6"/>
      <c r="I441" s="2"/>
      <c r="K441" s="6"/>
      <c r="L441" s="6"/>
      <c r="AZ441" s="4"/>
    </row>
    <row r="442" ht="15.75" customHeight="1">
      <c r="A442" s="4"/>
      <c r="B442" s="4"/>
      <c r="D442" s="2"/>
      <c r="F442" s="2"/>
      <c r="G442" s="6"/>
      <c r="H442" s="6"/>
      <c r="I442" s="2"/>
      <c r="K442" s="6"/>
      <c r="L442" s="6"/>
      <c r="AZ442" s="4"/>
    </row>
    <row r="443" ht="15.75" customHeight="1">
      <c r="A443" s="4"/>
      <c r="B443" s="4"/>
      <c r="D443" s="2"/>
      <c r="F443" s="2"/>
      <c r="G443" s="6"/>
      <c r="H443" s="6"/>
      <c r="I443" s="2"/>
      <c r="K443" s="6"/>
      <c r="L443" s="6"/>
      <c r="AZ443" s="4"/>
    </row>
    <row r="444" ht="15.75" customHeight="1">
      <c r="A444" s="4"/>
      <c r="B444" s="4"/>
      <c r="D444" s="2"/>
      <c r="F444" s="2"/>
      <c r="G444" s="6"/>
      <c r="H444" s="6"/>
      <c r="I444" s="2"/>
      <c r="K444" s="6"/>
      <c r="L444" s="6"/>
      <c r="AZ444" s="4"/>
    </row>
    <row r="445" ht="15.75" customHeight="1">
      <c r="A445" s="4"/>
      <c r="B445" s="4"/>
      <c r="D445" s="2"/>
      <c r="F445" s="2"/>
      <c r="G445" s="6"/>
      <c r="H445" s="6"/>
      <c r="I445" s="2"/>
      <c r="K445" s="6"/>
      <c r="L445" s="6"/>
      <c r="AZ445" s="4"/>
    </row>
    <row r="446" ht="15.75" customHeight="1">
      <c r="A446" s="4"/>
      <c r="B446" s="4"/>
      <c r="D446" s="2"/>
      <c r="F446" s="2"/>
      <c r="G446" s="6"/>
      <c r="H446" s="6"/>
      <c r="I446" s="2"/>
      <c r="K446" s="6"/>
      <c r="L446" s="6"/>
      <c r="AZ446" s="4"/>
    </row>
    <row r="447" ht="15.75" customHeight="1">
      <c r="A447" s="4"/>
      <c r="B447" s="4"/>
      <c r="D447" s="2"/>
      <c r="F447" s="2"/>
      <c r="G447" s="6"/>
      <c r="H447" s="6"/>
      <c r="I447" s="2"/>
      <c r="K447" s="6"/>
      <c r="L447" s="6"/>
      <c r="AZ447" s="4"/>
    </row>
    <row r="448" ht="15.75" customHeight="1">
      <c r="A448" s="4"/>
      <c r="B448" s="4"/>
      <c r="D448" s="2"/>
      <c r="F448" s="2"/>
      <c r="G448" s="6"/>
      <c r="H448" s="6"/>
      <c r="I448" s="2"/>
      <c r="K448" s="6"/>
      <c r="L448" s="6"/>
      <c r="AZ448" s="4"/>
    </row>
    <row r="449" ht="15.75" customHeight="1">
      <c r="A449" s="4"/>
      <c r="B449" s="4"/>
      <c r="D449" s="2"/>
      <c r="F449" s="2"/>
      <c r="G449" s="6"/>
      <c r="H449" s="6"/>
      <c r="I449" s="2"/>
      <c r="K449" s="6"/>
      <c r="L449" s="6"/>
      <c r="AZ449" s="4"/>
    </row>
    <row r="450" ht="15.75" customHeight="1">
      <c r="A450" s="4"/>
      <c r="B450" s="4"/>
      <c r="D450" s="2"/>
      <c r="F450" s="2"/>
      <c r="G450" s="6"/>
      <c r="H450" s="6"/>
      <c r="I450" s="2"/>
      <c r="K450" s="6"/>
      <c r="L450" s="6"/>
      <c r="AZ450" s="4"/>
    </row>
    <row r="451" ht="15.75" customHeight="1">
      <c r="A451" s="4"/>
      <c r="B451" s="4"/>
      <c r="D451" s="2"/>
      <c r="F451" s="2"/>
      <c r="G451" s="6"/>
      <c r="H451" s="6"/>
      <c r="I451" s="2"/>
      <c r="K451" s="6"/>
      <c r="L451" s="6"/>
      <c r="AZ451" s="4"/>
    </row>
    <row r="452" ht="15.75" customHeight="1">
      <c r="A452" s="4"/>
      <c r="B452" s="4"/>
      <c r="D452" s="2"/>
      <c r="F452" s="2"/>
      <c r="G452" s="6"/>
      <c r="H452" s="6"/>
      <c r="I452" s="2"/>
      <c r="K452" s="6"/>
      <c r="L452" s="6"/>
      <c r="AZ452" s="4"/>
    </row>
    <row r="453" ht="15.75" customHeight="1">
      <c r="A453" s="4"/>
      <c r="B453" s="4"/>
      <c r="D453" s="2"/>
      <c r="F453" s="2"/>
      <c r="G453" s="6"/>
      <c r="H453" s="6"/>
      <c r="I453" s="2"/>
      <c r="K453" s="6"/>
      <c r="L453" s="6"/>
      <c r="AZ453" s="4"/>
    </row>
    <row r="454" ht="15.75" customHeight="1">
      <c r="A454" s="4"/>
      <c r="B454" s="4"/>
      <c r="D454" s="2"/>
      <c r="F454" s="2"/>
      <c r="G454" s="6"/>
      <c r="H454" s="6"/>
      <c r="I454" s="2"/>
      <c r="K454" s="6"/>
      <c r="L454" s="6"/>
      <c r="AZ454" s="4"/>
    </row>
    <row r="455" ht="15.75" customHeight="1">
      <c r="A455" s="4"/>
      <c r="B455" s="4"/>
      <c r="D455" s="2"/>
      <c r="F455" s="2"/>
      <c r="G455" s="6"/>
      <c r="H455" s="6"/>
      <c r="I455" s="2"/>
      <c r="K455" s="6"/>
      <c r="L455" s="6"/>
      <c r="AZ455" s="4"/>
    </row>
    <row r="456" ht="15.75" customHeight="1">
      <c r="A456" s="4"/>
      <c r="B456" s="4"/>
      <c r="D456" s="2"/>
      <c r="F456" s="2"/>
      <c r="G456" s="6"/>
      <c r="H456" s="6"/>
      <c r="I456" s="2"/>
      <c r="K456" s="6"/>
      <c r="L456" s="6"/>
      <c r="AZ456" s="4"/>
    </row>
    <row r="457" ht="15.75" customHeight="1">
      <c r="A457" s="4"/>
      <c r="B457" s="4"/>
      <c r="D457" s="2"/>
      <c r="F457" s="2"/>
      <c r="G457" s="6"/>
      <c r="H457" s="6"/>
      <c r="I457" s="2"/>
      <c r="K457" s="6"/>
      <c r="L457" s="6"/>
      <c r="AZ457" s="4"/>
    </row>
    <row r="458" ht="15.75" customHeight="1">
      <c r="A458" s="4"/>
      <c r="B458" s="4"/>
      <c r="D458" s="2"/>
      <c r="F458" s="2"/>
      <c r="G458" s="6"/>
      <c r="H458" s="6"/>
      <c r="I458" s="2"/>
      <c r="K458" s="6"/>
      <c r="L458" s="6"/>
      <c r="AZ458" s="4"/>
    </row>
    <row r="459" ht="15.75" customHeight="1">
      <c r="A459" s="4"/>
      <c r="B459" s="4"/>
      <c r="D459" s="2"/>
      <c r="F459" s="2"/>
      <c r="G459" s="6"/>
      <c r="H459" s="6"/>
      <c r="I459" s="2"/>
      <c r="K459" s="6"/>
      <c r="L459" s="6"/>
      <c r="AZ459" s="4"/>
    </row>
    <row r="460" ht="15.75" customHeight="1">
      <c r="A460" s="4"/>
      <c r="B460" s="4"/>
      <c r="D460" s="2"/>
      <c r="F460" s="2"/>
      <c r="G460" s="6"/>
      <c r="H460" s="6"/>
      <c r="I460" s="2"/>
      <c r="K460" s="6"/>
      <c r="L460" s="6"/>
      <c r="AZ460" s="4"/>
    </row>
    <row r="461" ht="15.75" customHeight="1">
      <c r="A461" s="4"/>
      <c r="B461" s="4"/>
      <c r="D461" s="2"/>
      <c r="F461" s="2"/>
      <c r="G461" s="6"/>
      <c r="H461" s="6"/>
      <c r="I461" s="2"/>
      <c r="K461" s="6"/>
      <c r="L461" s="6"/>
      <c r="AZ461" s="4"/>
    </row>
    <row r="462" ht="15.75" customHeight="1">
      <c r="A462" s="4"/>
      <c r="B462" s="4"/>
      <c r="D462" s="2"/>
      <c r="F462" s="2"/>
      <c r="G462" s="6"/>
      <c r="H462" s="6"/>
      <c r="I462" s="2"/>
      <c r="K462" s="6"/>
      <c r="L462" s="6"/>
      <c r="AZ462" s="4"/>
    </row>
    <row r="463" ht="15.75" customHeight="1">
      <c r="A463" s="4"/>
      <c r="B463" s="4"/>
      <c r="D463" s="2"/>
      <c r="F463" s="2"/>
      <c r="G463" s="6"/>
      <c r="H463" s="6"/>
      <c r="I463" s="2"/>
      <c r="K463" s="6"/>
      <c r="L463" s="6"/>
      <c r="AZ463" s="4"/>
    </row>
    <row r="464" ht="15.75" customHeight="1">
      <c r="A464" s="4"/>
      <c r="B464" s="4"/>
      <c r="D464" s="2"/>
      <c r="F464" s="2"/>
      <c r="G464" s="6"/>
      <c r="H464" s="6"/>
      <c r="I464" s="2"/>
      <c r="K464" s="6"/>
      <c r="L464" s="6"/>
      <c r="AZ464" s="4"/>
    </row>
    <row r="465" ht="15.75" customHeight="1">
      <c r="A465" s="4"/>
      <c r="B465" s="4"/>
      <c r="D465" s="2"/>
      <c r="F465" s="2"/>
      <c r="G465" s="6"/>
      <c r="H465" s="6"/>
      <c r="I465" s="2"/>
      <c r="K465" s="6"/>
      <c r="L465" s="6"/>
      <c r="AZ465" s="4"/>
    </row>
    <row r="466" ht="15.75" customHeight="1">
      <c r="A466" s="4"/>
      <c r="B466" s="4"/>
      <c r="D466" s="2"/>
      <c r="F466" s="2"/>
      <c r="G466" s="6"/>
      <c r="H466" s="6"/>
      <c r="I466" s="2"/>
      <c r="K466" s="6"/>
      <c r="L466" s="6"/>
      <c r="AZ466" s="4"/>
    </row>
    <row r="467" ht="15.75" customHeight="1">
      <c r="A467" s="4"/>
      <c r="B467" s="4"/>
      <c r="D467" s="2"/>
      <c r="F467" s="2"/>
      <c r="G467" s="6"/>
      <c r="H467" s="6"/>
      <c r="I467" s="2"/>
      <c r="K467" s="6"/>
      <c r="L467" s="6"/>
      <c r="AZ467" s="4"/>
    </row>
    <row r="468" ht="15.75" customHeight="1">
      <c r="A468" s="4"/>
      <c r="B468" s="4"/>
      <c r="D468" s="2"/>
      <c r="F468" s="2"/>
      <c r="G468" s="6"/>
      <c r="H468" s="6"/>
      <c r="I468" s="2"/>
      <c r="K468" s="6"/>
      <c r="L468" s="6"/>
      <c r="AZ468" s="4"/>
    </row>
    <row r="469" ht="15.75" customHeight="1">
      <c r="A469" s="4"/>
      <c r="B469" s="4"/>
      <c r="D469" s="2"/>
      <c r="F469" s="2"/>
      <c r="G469" s="6"/>
      <c r="H469" s="6"/>
      <c r="I469" s="2"/>
      <c r="K469" s="6"/>
      <c r="L469" s="6"/>
      <c r="AZ469" s="4"/>
    </row>
    <row r="470" ht="15.75" customHeight="1">
      <c r="A470" s="4"/>
      <c r="B470" s="4"/>
      <c r="D470" s="2"/>
      <c r="F470" s="2"/>
      <c r="G470" s="6"/>
      <c r="H470" s="6"/>
      <c r="I470" s="2"/>
      <c r="K470" s="6"/>
      <c r="L470" s="6"/>
      <c r="AZ470" s="4"/>
    </row>
    <row r="471" ht="15.75" customHeight="1">
      <c r="A471" s="4"/>
      <c r="B471" s="4"/>
      <c r="D471" s="2"/>
      <c r="F471" s="2"/>
      <c r="G471" s="6"/>
      <c r="H471" s="6"/>
      <c r="I471" s="2"/>
      <c r="K471" s="6"/>
      <c r="L471" s="6"/>
      <c r="AZ471" s="4"/>
    </row>
    <row r="472" ht="15.75" customHeight="1">
      <c r="A472" s="4"/>
      <c r="B472" s="4"/>
      <c r="D472" s="2"/>
      <c r="F472" s="2"/>
      <c r="G472" s="6"/>
      <c r="H472" s="6"/>
      <c r="I472" s="2"/>
      <c r="K472" s="6"/>
      <c r="L472" s="6"/>
      <c r="AZ472" s="4"/>
    </row>
    <row r="473" ht="15.75" customHeight="1">
      <c r="A473" s="4"/>
      <c r="B473" s="4"/>
      <c r="D473" s="2"/>
      <c r="F473" s="2"/>
      <c r="G473" s="6"/>
      <c r="H473" s="6"/>
      <c r="I473" s="2"/>
      <c r="K473" s="6"/>
      <c r="L473" s="6"/>
      <c r="AZ473" s="4"/>
    </row>
    <row r="474" ht="15.75" customHeight="1">
      <c r="A474" s="4"/>
      <c r="B474" s="4"/>
      <c r="D474" s="2"/>
      <c r="F474" s="2"/>
      <c r="G474" s="6"/>
      <c r="H474" s="6"/>
      <c r="I474" s="2"/>
      <c r="K474" s="6"/>
      <c r="L474" s="6"/>
      <c r="AZ474" s="4"/>
    </row>
    <row r="475" ht="15.75" customHeight="1">
      <c r="A475" s="4"/>
      <c r="B475" s="4"/>
      <c r="D475" s="2"/>
      <c r="F475" s="2"/>
      <c r="G475" s="6"/>
      <c r="H475" s="6"/>
      <c r="I475" s="2"/>
      <c r="K475" s="6"/>
      <c r="L475" s="6"/>
      <c r="AZ475" s="4"/>
    </row>
    <row r="476" ht="15.75" customHeight="1">
      <c r="A476" s="4"/>
      <c r="B476" s="4"/>
      <c r="D476" s="2"/>
      <c r="F476" s="2"/>
      <c r="G476" s="6"/>
      <c r="H476" s="6"/>
      <c r="I476" s="2"/>
      <c r="K476" s="6"/>
      <c r="L476" s="6"/>
      <c r="AZ476" s="4"/>
    </row>
    <row r="477" ht="15.75" customHeight="1">
      <c r="A477" s="4"/>
      <c r="B477" s="4"/>
      <c r="D477" s="2"/>
      <c r="F477" s="2"/>
      <c r="G477" s="6"/>
      <c r="H477" s="6"/>
      <c r="I477" s="2"/>
      <c r="K477" s="6"/>
      <c r="L477" s="6"/>
      <c r="AZ477" s="4"/>
    </row>
    <row r="478" ht="15.75" customHeight="1">
      <c r="A478" s="4"/>
      <c r="B478" s="4"/>
      <c r="D478" s="2"/>
      <c r="F478" s="2"/>
      <c r="G478" s="6"/>
      <c r="H478" s="6"/>
      <c r="I478" s="2"/>
      <c r="K478" s="6"/>
      <c r="L478" s="6"/>
      <c r="AZ478" s="4"/>
    </row>
    <row r="479" ht="15.75" customHeight="1">
      <c r="A479" s="4"/>
      <c r="B479" s="4"/>
      <c r="D479" s="2"/>
      <c r="F479" s="2"/>
      <c r="G479" s="6"/>
      <c r="H479" s="6"/>
      <c r="I479" s="2"/>
      <c r="K479" s="6"/>
      <c r="L479" s="6"/>
      <c r="AZ479" s="4"/>
    </row>
    <row r="480" ht="15.75" customHeight="1">
      <c r="A480" s="4"/>
      <c r="B480" s="4"/>
      <c r="D480" s="2"/>
      <c r="F480" s="2"/>
      <c r="G480" s="6"/>
      <c r="H480" s="6"/>
      <c r="I480" s="2"/>
      <c r="K480" s="6"/>
      <c r="L480" s="6"/>
      <c r="AZ480" s="4"/>
    </row>
    <row r="481" ht="15.75" customHeight="1">
      <c r="A481" s="4"/>
      <c r="B481" s="4"/>
      <c r="D481" s="2"/>
      <c r="F481" s="2"/>
      <c r="G481" s="6"/>
      <c r="H481" s="6"/>
      <c r="I481" s="2"/>
      <c r="K481" s="6"/>
      <c r="L481" s="6"/>
      <c r="AZ481" s="4"/>
    </row>
    <row r="482" ht="15.75" customHeight="1">
      <c r="A482" s="4"/>
      <c r="B482" s="4"/>
      <c r="D482" s="2"/>
      <c r="F482" s="2"/>
      <c r="G482" s="6"/>
      <c r="H482" s="6"/>
      <c r="I482" s="2"/>
      <c r="K482" s="6"/>
      <c r="L482" s="6"/>
      <c r="AZ482" s="4"/>
    </row>
    <row r="483" ht="15.75" customHeight="1">
      <c r="A483" s="4"/>
      <c r="B483" s="4"/>
      <c r="D483" s="2"/>
      <c r="F483" s="2"/>
      <c r="G483" s="6"/>
      <c r="H483" s="6"/>
      <c r="I483" s="2"/>
      <c r="K483" s="6"/>
      <c r="L483" s="6"/>
      <c r="AZ483" s="4"/>
    </row>
    <row r="484" ht="15.75" customHeight="1">
      <c r="A484" s="4"/>
      <c r="B484" s="4"/>
      <c r="D484" s="2"/>
      <c r="F484" s="2"/>
      <c r="G484" s="6"/>
      <c r="H484" s="6"/>
      <c r="I484" s="2"/>
      <c r="K484" s="6"/>
      <c r="L484" s="6"/>
      <c r="AZ484" s="4"/>
    </row>
    <row r="485" ht="15.75" customHeight="1">
      <c r="A485" s="4"/>
      <c r="B485" s="4"/>
      <c r="D485" s="2"/>
      <c r="F485" s="2"/>
      <c r="G485" s="6"/>
      <c r="H485" s="6"/>
      <c r="I485" s="2"/>
      <c r="K485" s="6"/>
      <c r="L485" s="6"/>
      <c r="AZ485" s="4"/>
    </row>
    <row r="486" ht="15.75" customHeight="1">
      <c r="A486" s="4"/>
      <c r="B486" s="4"/>
      <c r="D486" s="2"/>
      <c r="F486" s="2"/>
      <c r="G486" s="6"/>
      <c r="H486" s="6"/>
      <c r="I486" s="2"/>
      <c r="K486" s="6"/>
      <c r="L486" s="6"/>
      <c r="AZ486" s="4"/>
    </row>
    <row r="487" ht="15.75" customHeight="1">
      <c r="A487" s="4"/>
      <c r="B487" s="4"/>
      <c r="D487" s="2"/>
      <c r="F487" s="2"/>
      <c r="G487" s="6"/>
      <c r="H487" s="6"/>
      <c r="I487" s="2"/>
      <c r="K487" s="6"/>
      <c r="L487" s="6"/>
      <c r="AZ487" s="4"/>
    </row>
    <row r="488" ht="15.75" customHeight="1">
      <c r="A488" s="4"/>
      <c r="B488" s="4"/>
      <c r="D488" s="2"/>
      <c r="F488" s="2"/>
      <c r="G488" s="6"/>
      <c r="H488" s="6"/>
      <c r="I488" s="2"/>
      <c r="K488" s="6"/>
      <c r="L488" s="6"/>
      <c r="AZ488" s="4"/>
    </row>
    <row r="489" ht="15.75" customHeight="1">
      <c r="A489" s="4"/>
      <c r="B489" s="4"/>
      <c r="D489" s="2"/>
      <c r="F489" s="2"/>
      <c r="G489" s="6"/>
      <c r="H489" s="6"/>
      <c r="I489" s="2"/>
      <c r="K489" s="6"/>
      <c r="L489" s="6"/>
      <c r="AZ489" s="4"/>
    </row>
    <row r="490" ht="15.75" customHeight="1">
      <c r="A490" s="4"/>
      <c r="B490" s="4"/>
      <c r="D490" s="2"/>
      <c r="F490" s="2"/>
      <c r="G490" s="6"/>
      <c r="H490" s="6"/>
      <c r="I490" s="2"/>
      <c r="K490" s="6"/>
      <c r="L490" s="6"/>
      <c r="AZ490" s="4"/>
    </row>
    <row r="491" ht="15.75" customHeight="1">
      <c r="A491" s="4"/>
      <c r="B491" s="4"/>
      <c r="D491" s="2"/>
      <c r="F491" s="2"/>
      <c r="G491" s="6"/>
      <c r="H491" s="6"/>
      <c r="I491" s="2"/>
      <c r="K491" s="6"/>
      <c r="L491" s="6"/>
      <c r="AZ491" s="4"/>
    </row>
    <row r="492" ht="15.75" customHeight="1">
      <c r="A492" s="4"/>
      <c r="B492" s="4"/>
      <c r="D492" s="2"/>
      <c r="F492" s="2"/>
      <c r="G492" s="6"/>
      <c r="H492" s="6"/>
      <c r="I492" s="2"/>
      <c r="K492" s="6"/>
      <c r="L492" s="6"/>
      <c r="AZ492" s="4"/>
    </row>
    <row r="493" ht="15.75" customHeight="1">
      <c r="A493" s="4"/>
      <c r="B493" s="4"/>
      <c r="D493" s="2"/>
      <c r="F493" s="2"/>
      <c r="G493" s="6"/>
      <c r="H493" s="6"/>
      <c r="I493" s="2"/>
      <c r="K493" s="6"/>
      <c r="L493" s="6"/>
      <c r="AZ493" s="4"/>
    </row>
    <row r="494" ht="15.75" customHeight="1">
      <c r="A494" s="4"/>
      <c r="B494" s="4"/>
      <c r="D494" s="2"/>
      <c r="F494" s="2"/>
      <c r="G494" s="6"/>
      <c r="H494" s="6"/>
      <c r="I494" s="2"/>
      <c r="K494" s="6"/>
      <c r="L494" s="6"/>
      <c r="AZ494" s="4"/>
    </row>
    <row r="495" ht="15.75" customHeight="1">
      <c r="A495" s="4"/>
      <c r="B495" s="4"/>
      <c r="D495" s="2"/>
      <c r="F495" s="2"/>
      <c r="G495" s="6"/>
      <c r="H495" s="6"/>
      <c r="I495" s="2"/>
      <c r="K495" s="6"/>
      <c r="L495" s="6"/>
      <c r="AZ495" s="4"/>
    </row>
    <row r="496" ht="15.75" customHeight="1">
      <c r="A496" s="4"/>
      <c r="B496" s="4"/>
      <c r="D496" s="2"/>
      <c r="F496" s="2"/>
      <c r="G496" s="6"/>
      <c r="H496" s="6"/>
      <c r="I496" s="2"/>
      <c r="K496" s="6"/>
      <c r="L496" s="6"/>
      <c r="AZ496" s="4"/>
    </row>
    <row r="497" ht="15.75" customHeight="1">
      <c r="A497" s="4"/>
      <c r="B497" s="4"/>
      <c r="D497" s="2"/>
      <c r="F497" s="2"/>
      <c r="G497" s="6"/>
      <c r="H497" s="6"/>
      <c r="I497" s="2"/>
      <c r="K497" s="6"/>
      <c r="L497" s="6"/>
      <c r="AZ497" s="4"/>
    </row>
    <row r="498" ht="15.75" customHeight="1">
      <c r="A498" s="4"/>
      <c r="B498" s="4"/>
      <c r="D498" s="2"/>
      <c r="F498" s="2"/>
      <c r="G498" s="6"/>
      <c r="H498" s="6"/>
      <c r="I498" s="2"/>
      <c r="K498" s="6"/>
      <c r="L498" s="6"/>
      <c r="AZ498" s="4"/>
    </row>
    <row r="499" ht="15.75" customHeight="1">
      <c r="A499" s="4"/>
      <c r="B499" s="4"/>
      <c r="D499" s="2"/>
      <c r="F499" s="2"/>
      <c r="G499" s="6"/>
      <c r="H499" s="6"/>
      <c r="I499" s="2"/>
      <c r="K499" s="6"/>
      <c r="L499" s="6"/>
      <c r="AZ499" s="4"/>
    </row>
    <row r="500" ht="15.75" customHeight="1">
      <c r="A500" s="4"/>
      <c r="B500" s="4"/>
      <c r="D500" s="2"/>
      <c r="F500" s="2"/>
      <c r="G500" s="6"/>
      <c r="H500" s="6"/>
      <c r="I500" s="2"/>
      <c r="K500" s="6"/>
      <c r="L500" s="6"/>
      <c r="AZ500" s="4"/>
    </row>
    <row r="501" ht="15.75" customHeight="1">
      <c r="A501" s="4"/>
      <c r="B501" s="4"/>
      <c r="D501" s="2"/>
      <c r="F501" s="2"/>
      <c r="G501" s="6"/>
      <c r="H501" s="6"/>
      <c r="I501" s="2"/>
      <c r="K501" s="6"/>
      <c r="L501" s="6"/>
      <c r="AZ501" s="4"/>
    </row>
    <row r="502" ht="15.75" customHeight="1">
      <c r="A502" s="4"/>
      <c r="B502" s="4"/>
      <c r="D502" s="2"/>
      <c r="F502" s="2"/>
      <c r="G502" s="6"/>
      <c r="H502" s="6"/>
      <c r="I502" s="2"/>
      <c r="K502" s="6"/>
      <c r="L502" s="6"/>
      <c r="AZ502" s="4"/>
    </row>
    <row r="503" ht="15.75" customHeight="1">
      <c r="A503" s="4"/>
      <c r="B503" s="4"/>
      <c r="D503" s="2"/>
      <c r="F503" s="2"/>
      <c r="G503" s="6"/>
      <c r="H503" s="6"/>
      <c r="I503" s="2"/>
      <c r="K503" s="6"/>
      <c r="L503" s="6"/>
      <c r="AZ503" s="4"/>
    </row>
    <row r="504" ht="15.75" customHeight="1">
      <c r="A504" s="4"/>
      <c r="B504" s="4"/>
      <c r="D504" s="2"/>
      <c r="F504" s="2"/>
      <c r="G504" s="6"/>
      <c r="H504" s="6"/>
      <c r="I504" s="2"/>
      <c r="K504" s="6"/>
      <c r="L504" s="6"/>
      <c r="AZ504" s="4"/>
    </row>
    <row r="505" ht="15.75" customHeight="1">
      <c r="A505" s="4"/>
      <c r="B505" s="4"/>
      <c r="D505" s="2"/>
      <c r="F505" s="2"/>
      <c r="G505" s="6"/>
      <c r="H505" s="6"/>
      <c r="I505" s="2"/>
      <c r="K505" s="6"/>
      <c r="L505" s="6"/>
      <c r="AZ505" s="4"/>
    </row>
    <row r="506" ht="15.75" customHeight="1">
      <c r="A506" s="4"/>
      <c r="B506" s="4"/>
      <c r="D506" s="2"/>
      <c r="F506" s="2"/>
      <c r="G506" s="6"/>
      <c r="H506" s="6"/>
      <c r="I506" s="2"/>
      <c r="K506" s="6"/>
      <c r="L506" s="6"/>
      <c r="AZ506" s="4"/>
    </row>
    <row r="507" ht="15.75" customHeight="1">
      <c r="A507" s="4"/>
      <c r="B507" s="4"/>
      <c r="D507" s="2"/>
      <c r="F507" s="2"/>
      <c r="G507" s="6"/>
      <c r="H507" s="6"/>
      <c r="I507" s="2"/>
      <c r="K507" s="6"/>
      <c r="L507" s="6"/>
      <c r="AZ507" s="4"/>
    </row>
    <row r="508" ht="15.75" customHeight="1">
      <c r="A508" s="4"/>
      <c r="B508" s="4"/>
      <c r="D508" s="2"/>
      <c r="F508" s="2"/>
      <c r="G508" s="6"/>
      <c r="H508" s="6"/>
      <c r="I508" s="2"/>
      <c r="K508" s="6"/>
      <c r="L508" s="6"/>
      <c r="AZ508" s="4"/>
    </row>
    <row r="509" ht="15.75" customHeight="1">
      <c r="A509" s="4"/>
      <c r="B509" s="4"/>
      <c r="D509" s="2"/>
      <c r="F509" s="2"/>
      <c r="G509" s="6"/>
      <c r="H509" s="6"/>
      <c r="I509" s="2"/>
      <c r="K509" s="6"/>
      <c r="L509" s="6"/>
      <c r="AZ509" s="4"/>
    </row>
    <row r="510" ht="15.75" customHeight="1">
      <c r="A510" s="4"/>
      <c r="B510" s="4"/>
      <c r="D510" s="2"/>
      <c r="F510" s="2"/>
      <c r="G510" s="6"/>
      <c r="H510" s="6"/>
      <c r="I510" s="2"/>
      <c r="K510" s="6"/>
      <c r="L510" s="6"/>
      <c r="AZ510" s="4"/>
    </row>
    <row r="511" ht="15.75" customHeight="1">
      <c r="A511" s="4"/>
      <c r="B511" s="4"/>
      <c r="D511" s="2"/>
      <c r="F511" s="2"/>
      <c r="G511" s="6"/>
      <c r="H511" s="6"/>
      <c r="I511" s="2"/>
      <c r="K511" s="6"/>
      <c r="L511" s="6"/>
      <c r="AZ511" s="4"/>
    </row>
    <row r="512" ht="15.75" customHeight="1">
      <c r="A512" s="4"/>
      <c r="B512" s="4"/>
      <c r="D512" s="2"/>
      <c r="F512" s="2"/>
      <c r="G512" s="6"/>
      <c r="H512" s="6"/>
      <c r="I512" s="2"/>
      <c r="K512" s="6"/>
      <c r="L512" s="6"/>
      <c r="AZ512" s="4"/>
    </row>
    <row r="513" ht="15.75" customHeight="1">
      <c r="A513" s="4"/>
      <c r="B513" s="4"/>
      <c r="D513" s="2"/>
      <c r="F513" s="2"/>
      <c r="G513" s="6"/>
      <c r="H513" s="6"/>
      <c r="I513" s="2"/>
      <c r="K513" s="6"/>
      <c r="L513" s="6"/>
      <c r="AZ513" s="4"/>
    </row>
    <row r="514" ht="15.75" customHeight="1">
      <c r="A514" s="4"/>
      <c r="B514" s="4"/>
      <c r="D514" s="2"/>
      <c r="F514" s="2"/>
      <c r="G514" s="6"/>
      <c r="H514" s="6"/>
      <c r="I514" s="2"/>
      <c r="K514" s="6"/>
      <c r="L514" s="6"/>
      <c r="AZ514" s="4"/>
    </row>
    <row r="515" ht="15.75" customHeight="1">
      <c r="A515" s="4"/>
      <c r="B515" s="4"/>
      <c r="D515" s="2"/>
      <c r="F515" s="2"/>
      <c r="G515" s="6"/>
      <c r="H515" s="6"/>
      <c r="I515" s="2"/>
      <c r="K515" s="6"/>
      <c r="L515" s="6"/>
      <c r="AZ515" s="4"/>
    </row>
    <row r="516" ht="15.75" customHeight="1">
      <c r="A516" s="4"/>
      <c r="B516" s="4"/>
      <c r="D516" s="2"/>
      <c r="F516" s="2"/>
      <c r="G516" s="6"/>
      <c r="H516" s="6"/>
      <c r="I516" s="2"/>
      <c r="K516" s="6"/>
      <c r="L516" s="6"/>
      <c r="AZ516" s="4"/>
    </row>
    <row r="517" ht="15.75" customHeight="1">
      <c r="A517" s="4"/>
      <c r="B517" s="4"/>
      <c r="D517" s="2"/>
      <c r="F517" s="2"/>
      <c r="G517" s="6"/>
      <c r="H517" s="6"/>
      <c r="I517" s="2"/>
      <c r="K517" s="6"/>
      <c r="L517" s="6"/>
      <c r="AZ517" s="4"/>
    </row>
    <row r="518" ht="15.75" customHeight="1">
      <c r="A518" s="4"/>
      <c r="B518" s="4"/>
      <c r="D518" s="2"/>
      <c r="F518" s="2"/>
      <c r="G518" s="6"/>
      <c r="H518" s="6"/>
      <c r="I518" s="2"/>
      <c r="K518" s="6"/>
      <c r="L518" s="6"/>
      <c r="AZ518" s="4"/>
    </row>
    <row r="519" ht="15.75" customHeight="1">
      <c r="A519" s="4"/>
      <c r="B519" s="4"/>
      <c r="D519" s="2"/>
      <c r="F519" s="2"/>
      <c r="G519" s="6"/>
      <c r="H519" s="6"/>
      <c r="I519" s="2"/>
      <c r="K519" s="6"/>
      <c r="L519" s="6"/>
      <c r="AZ519" s="4"/>
    </row>
    <row r="520" ht="15.75" customHeight="1">
      <c r="A520" s="4"/>
      <c r="B520" s="4"/>
      <c r="D520" s="2"/>
      <c r="F520" s="2"/>
      <c r="G520" s="6"/>
      <c r="H520" s="6"/>
      <c r="I520" s="2"/>
      <c r="K520" s="6"/>
      <c r="L520" s="6"/>
      <c r="AZ520" s="4"/>
    </row>
    <row r="521" ht="15.75" customHeight="1">
      <c r="A521" s="4"/>
      <c r="B521" s="4"/>
      <c r="D521" s="2"/>
      <c r="F521" s="2"/>
      <c r="G521" s="6"/>
      <c r="H521" s="6"/>
      <c r="I521" s="2"/>
      <c r="K521" s="6"/>
      <c r="L521" s="6"/>
      <c r="AZ521" s="4"/>
    </row>
    <row r="522" ht="15.75" customHeight="1">
      <c r="A522" s="4"/>
      <c r="B522" s="4"/>
      <c r="D522" s="2"/>
      <c r="F522" s="2"/>
      <c r="G522" s="6"/>
      <c r="H522" s="6"/>
      <c r="I522" s="2"/>
      <c r="K522" s="6"/>
      <c r="L522" s="6"/>
      <c r="AZ522" s="4"/>
    </row>
    <row r="523" ht="15.75" customHeight="1">
      <c r="A523" s="4"/>
      <c r="B523" s="4"/>
      <c r="D523" s="2"/>
      <c r="F523" s="2"/>
      <c r="G523" s="6"/>
      <c r="H523" s="6"/>
      <c r="I523" s="2"/>
      <c r="K523" s="6"/>
      <c r="L523" s="6"/>
      <c r="AZ523" s="4"/>
    </row>
    <row r="524" ht="15.75" customHeight="1">
      <c r="A524" s="4"/>
      <c r="B524" s="4"/>
      <c r="D524" s="2"/>
      <c r="F524" s="2"/>
      <c r="G524" s="6"/>
      <c r="H524" s="6"/>
      <c r="I524" s="2"/>
      <c r="K524" s="6"/>
      <c r="L524" s="6"/>
      <c r="AZ524" s="4"/>
    </row>
    <row r="525" ht="15.75" customHeight="1">
      <c r="A525" s="4"/>
      <c r="B525" s="4"/>
      <c r="D525" s="2"/>
      <c r="F525" s="2"/>
      <c r="G525" s="6"/>
      <c r="H525" s="6"/>
      <c r="I525" s="2"/>
      <c r="K525" s="6"/>
      <c r="L525" s="6"/>
      <c r="AZ525" s="4"/>
    </row>
    <row r="526" ht="15.75" customHeight="1">
      <c r="A526" s="4"/>
      <c r="B526" s="4"/>
      <c r="D526" s="2"/>
      <c r="F526" s="2"/>
      <c r="G526" s="6"/>
      <c r="H526" s="6"/>
      <c r="I526" s="2"/>
      <c r="K526" s="6"/>
      <c r="L526" s="6"/>
      <c r="AZ526" s="4"/>
    </row>
    <row r="527" ht="15.75" customHeight="1">
      <c r="A527" s="4"/>
      <c r="B527" s="4"/>
      <c r="D527" s="2"/>
      <c r="F527" s="2"/>
      <c r="G527" s="6"/>
      <c r="H527" s="6"/>
      <c r="I527" s="2"/>
      <c r="K527" s="6"/>
      <c r="L527" s="6"/>
      <c r="AZ527" s="4"/>
    </row>
    <row r="528" ht="15.75" customHeight="1">
      <c r="A528" s="4"/>
      <c r="B528" s="4"/>
      <c r="D528" s="2"/>
      <c r="F528" s="2"/>
      <c r="G528" s="6"/>
      <c r="H528" s="6"/>
      <c r="I528" s="2"/>
      <c r="K528" s="6"/>
      <c r="L528" s="6"/>
      <c r="AZ528" s="4"/>
    </row>
    <row r="529" ht="15.75" customHeight="1">
      <c r="A529" s="4"/>
      <c r="B529" s="4"/>
      <c r="D529" s="2"/>
      <c r="F529" s="2"/>
      <c r="G529" s="6"/>
      <c r="H529" s="6"/>
      <c r="I529" s="2"/>
      <c r="K529" s="6"/>
      <c r="L529" s="6"/>
      <c r="AZ529" s="4"/>
    </row>
    <row r="530" ht="15.75" customHeight="1">
      <c r="A530" s="4"/>
      <c r="B530" s="4"/>
      <c r="D530" s="2"/>
      <c r="F530" s="2"/>
      <c r="G530" s="6"/>
      <c r="H530" s="6"/>
      <c r="I530" s="2"/>
      <c r="K530" s="6"/>
      <c r="L530" s="6"/>
      <c r="AZ530" s="4"/>
    </row>
    <row r="531" ht="15.75" customHeight="1">
      <c r="A531" s="4"/>
      <c r="B531" s="4"/>
      <c r="D531" s="2"/>
      <c r="F531" s="2"/>
      <c r="G531" s="6"/>
      <c r="H531" s="6"/>
      <c r="I531" s="2"/>
      <c r="K531" s="6"/>
      <c r="L531" s="6"/>
      <c r="AZ531" s="4"/>
    </row>
    <row r="532" ht="15.75" customHeight="1">
      <c r="A532" s="4"/>
      <c r="B532" s="4"/>
      <c r="D532" s="2"/>
      <c r="F532" s="2"/>
      <c r="G532" s="6"/>
      <c r="H532" s="6"/>
      <c r="I532" s="2"/>
      <c r="K532" s="6"/>
      <c r="L532" s="6"/>
      <c r="AZ532" s="4"/>
    </row>
    <row r="533" ht="15.75" customHeight="1">
      <c r="A533" s="4"/>
      <c r="B533" s="4"/>
      <c r="D533" s="2"/>
      <c r="F533" s="2"/>
      <c r="G533" s="6"/>
      <c r="H533" s="6"/>
      <c r="I533" s="2"/>
      <c r="K533" s="6"/>
      <c r="L533" s="6"/>
      <c r="AZ533" s="4"/>
    </row>
    <row r="534" ht="15.75" customHeight="1">
      <c r="A534" s="4"/>
      <c r="B534" s="4"/>
      <c r="D534" s="2"/>
      <c r="F534" s="2"/>
      <c r="G534" s="6"/>
      <c r="H534" s="6"/>
      <c r="I534" s="2"/>
      <c r="K534" s="6"/>
      <c r="L534" s="6"/>
      <c r="AZ534" s="4"/>
    </row>
    <row r="535" ht="15.75" customHeight="1">
      <c r="A535" s="4"/>
      <c r="B535" s="4"/>
      <c r="D535" s="2"/>
      <c r="F535" s="2"/>
      <c r="G535" s="6"/>
      <c r="H535" s="6"/>
      <c r="I535" s="2"/>
      <c r="K535" s="6"/>
      <c r="L535" s="6"/>
      <c r="AZ535" s="4"/>
    </row>
    <row r="536" ht="15.75" customHeight="1">
      <c r="A536" s="4"/>
      <c r="B536" s="4"/>
      <c r="D536" s="2"/>
      <c r="F536" s="2"/>
      <c r="G536" s="6"/>
      <c r="H536" s="6"/>
      <c r="I536" s="2"/>
      <c r="K536" s="6"/>
      <c r="L536" s="6"/>
      <c r="AZ536" s="4"/>
    </row>
    <row r="537" ht="15.75" customHeight="1">
      <c r="A537" s="4"/>
      <c r="B537" s="4"/>
      <c r="D537" s="2"/>
      <c r="F537" s="2"/>
      <c r="G537" s="6"/>
      <c r="H537" s="6"/>
      <c r="I537" s="2"/>
      <c r="K537" s="6"/>
      <c r="L537" s="6"/>
      <c r="AZ537" s="4"/>
    </row>
    <row r="538" ht="15.75" customHeight="1">
      <c r="A538" s="4"/>
      <c r="B538" s="4"/>
      <c r="D538" s="2"/>
      <c r="F538" s="2"/>
      <c r="G538" s="6"/>
      <c r="H538" s="6"/>
      <c r="I538" s="2"/>
      <c r="K538" s="6"/>
      <c r="L538" s="6"/>
      <c r="AZ538" s="4"/>
    </row>
    <row r="539" ht="15.75" customHeight="1">
      <c r="A539" s="4"/>
      <c r="B539" s="4"/>
      <c r="D539" s="2"/>
      <c r="F539" s="2"/>
      <c r="G539" s="6"/>
      <c r="H539" s="6"/>
      <c r="I539" s="2"/>
      <c r="K539" s="6"/>
      <c r="L539" s="6"/>
      <c r="AZ539" s="4"/>
    </row>
    <row r="540" ht="15.75" customHeight="1">
      <c r="A540" s="4"/>
      <c r="B540" s="4"/>
      <c r="D540" s="2"/>
      <c r="F540" s="2"/>
      <c r="G540" s="6"/>
      <c r="H540" s="6"/>
      <c r="I540" s="2"/>
      <c r="K540" s="6"/>
      <c r="L540" s="6"/>
      <c r="AZ540" s="4"/>
    </row>
    <row r="541" ht="15.75" customHeight="1">
      <c r="A541" s="4"/>
      <c r="B541" s="4"/>
      <c r="D541" s="2"/>
      <c r="F541" s="2"/>
      <c r="G541" s="6"/>
      <c r="H541" s="6"/>
      <c r="I541" s="2"/>
      <c r="K541" s="6"/>
      <c r="L541" s="6"/>
      <c r="AZ541" s="4"/>
    </row>
    <row r="542" ht="15.75" customHeight="1">
      <c r="A542" s="4"/>
      <c r="B542" s="4"/>
      <c r="D542" s="2"/>
      <c r="F542" s="2"/>
      <c r="G542" s="6"/>
      <c r="H542" s="6"/>
      <c r="I542" s="2"/>
      <c r="K542" s="6"/>
      <c r="L542" s="6"/>
      <c r="AZ542" s="4"/>
    </row>
    <row r="543" ht="15.75" customHeight="1">
      <c r="A543" s="4"/>
      <c r="B543" s="4"/>
      <c r="D543" s="2"/>
      <c r="F543" s="2"/>
      <c r="G543" s="6"/>
      <c r="H543" s="6"/>
      <c r="I543" s="2"/>
      <c r="K543" s="6"/>
      <c r="L543" s="6"/>
      <c r="AZ543" s="4"/>
    </row>
    <row r="544" ht="15.75" customHeight="1">
      <c r="A544" s="4"/>
      <c r="B544" s="4"/>
      <c r="D544" s="2"/>
      <c r="F544" s="2"/>
      <c r="G544" s="6"/>
      <c r="H544" s="6"/>
      <c r="I544" s="2"/>
      <c r="K544" s="6"/>
      <c r="L544" s="6"/>
      <c r="AZ544" s="4"/>
    </row>
    <row r="545" ht="15.75" customHeight="1">
      <c r="A545" s="4"/>
      <c r="B545" s="4"/>
      <c r="D545" s="2"/>
      <c r="F545" s="2"/>
      <c r="G545" s="6"/>
      <c r="H545" s="6"/>
      <c r="I545" s="2"/>
      <c r="K545" s="6"/>
      <c r="L545" s="6"/>
      <c r="AZ545" s="4"/>
    </row>
    <row r="546" ht="15.75" customHeight="1">
      <c r="A546" s="4"/>
      <c r="B546" s="4"/>
      <c r="D546" s="2"/>
      <c r="F546" s="2"/>
      <c r="G546" s="6"/>
      <c r="H546" s="6"/>
      <c r="I546" s="2"/>
      <c r="K546" s="6"/>
      <c r="L546" s="6"/>
      <c r="AZ546" s="4"/>
    </row>
    <row r="547" ht="15.75" customHeight="1">
      <c r="A547" s="4"/>
      <c r="B547" s="4"/>
      <c r="D547" s="2"/>
      <c r="F547" s="2"/>
      <c r="G547" s="6"/>
      <c r="H547" s="6"/>
      <c r="I547" s="2"/>
      <c r="K547" s="6"/>
      <c r="L547" s="6"/>
      <c r="AZ547" s="4"/>
    </row>
    <row r="548" ht="15.75" customHeight="1">
      <c r="A548" s="4"/>
      <c r="B548" s="4"/>
      <c r="D548" s="2"/>
      <c r="F548" s="2"/>
      <c r="G548" s="6"/>
      <c r="H548" s="6"/>
      <c r="I548" s="2"/>
      <c r="K548" s="6"/>
      <c r="L548" s="6"/>
      <c r="AZ548" s="4"/>
    </row>
    <row r="549" ht="15.75" customHeight="1">
      <c r="A549" s="4"/>
      <c r="B549" s="4"/>
      <c r="D549" s="2"/>
      <c r="F549" s="2"/>
      <c r="G549" s="6"/>
      <c r="H549" s="6"/>
      <c r="I549" s="2"/>
      <c r="K549" s="6"/>
      <c r="L549" s="6"/>
      <c r="AZ549" s="4"/>
    </row>
    <row r="550" ht="15.75" customHeight="1">
      <c r="A550" s="4"/>
      <c r="B550" s="4"/>
      <c r="D550" s="2"/>
      <c r="F550" s="2"/>
      <c r="G550" s="6"/>
      <c r="H550" s="6"/>
      <c r="I550" s="2"/>
      <c r="K550" s="6"/>
      <c r="L550" s="6"/>
      <c r="AZ550" s="4"/>
    </row>
    <row r="551" ht="15.75" customHeight="1">
      <c r="A551" s="4"/>
      <c r="B551" s="4"/>
      <c r="D551" s="2"/>
      <c r="F551" s="2"/>
      <c r="G551" s="6"/>
      <c r="H551" s="6"/>
      <c r="I551" s="2"/>
      <c r="K551" s="6"/>
      <c r="L551" s="6"/>
      <c r="AZ551" s="4"/>
    </row>
    <row r="552" ht="15.75" customHeight="1">
      <c r="A552" s="4"/>
      <c r="B552" s="4"/>
      <c r="D552" s="2"/>
      <c r="F552" s="2"/>
      <c r="G552" s="6"/>
      <c r="H552" s="6"/>
      <c r="I552" s="2"/>
      <c r="K552" s="6"/>
      <c r="L552" s="6"/>
      <c r="AZ552" s="4"/>
    </row>
    <row r="553" ht="15.75" customHeight="1">
      <c r="A553" s="4"/>
      <c r="B553" s="4"/>
      <c r="D553" s="2"/>
      <c r="F553" s="2"/>
      <c r="G553" s="6"/>
      <c r="H553" s="6"/>
      <c r="I553" s="2"/>
      <c r="K553" s="6"/>
      <c r="L553" s="6"/>
      <c r="AZ553" s="4"/>
    </row>
    <row r="554" ht="15.75" customHeight="1">
      <c r="A554" s="4"/>
      <c r="B554" s="4"/>
      <c r="D554" s="2"/>
      <c r="F554" s="2"/>
      <c r="G554" s="6"/>
      <c r="H554" s="6"/>
      <c r="I554" s="2"/>
      <c r="K554" s="6"/>
      <c r="L554" s="6"/>
      <c r="AZ554" s="4"/>
    </row>
    <row r="555" ht="15.75" customHeight="1">
      <c r="A555" s="4"/>
      <c r="B555" s="4"/>
      <c r="D555" s="2"/>
      <c r="F555" s="2"/>
      <c r="G555" s="6"/>
      <c r="H555" s="6"/>
      <c r="I555" s="2"/>
      <c r="K555" s="6"/>
      <c r="L555" s="6"/>
      <c r="AZ555" s="4"/>
    </row>
    <row r="556" ht="15.75" customHeight="1">
      <c r="A556" s="4"/>
      <c r="B556" s="4"/>
      <c r="D556" s="2"/>
      <c r="F556" s="2"/>
      <c r="G556" s="6"/>
      <c r="H556" s="6"/>
      <c r="I556" s="2"/>
      <c r="K556" s="6"/>
      <c r="L556" s="6"/>
      <c r="AZ556" s="4"/>
    </row>
    <row r="557" ht="15.75" customHeight="1">
      <c r="A557" s="4"/>
      <c r="B557" s="4"/>
      <c r="D557" s="2"/>
      <c r="F557" s="2"/>
      <c r="G557" s="6"/>
      <c r="H557" s="6"/>
      <c r="I557" s="2"/>
      <c r="K557" s="6"/>
      <c r="L557" s="6"/>
      <c r="AZ557" s="4"/>
    </row>
    <row r="558" ht="15.75" customHeight="1">
      <c r="A558" s="4"/>
      <c r="B558" s="4"/>
      <c r="D558" s="2"/>
      <c r="F558" s="2"/>
      <c r="G558" s="6"/>
      <c r="H558" s="6"/>
      <c r="I558" s="2"/>
      <c r="K558" s="6"/>
      <c r="L558" s="6"/>
      <c r="AZ558" s="4"/>
    </row>
    <row r="559" ht="15.75" customHeight="1">
      <c r="A559" s="4"/>
      <c r="B559" s="4"/>
      <c r="D559" s="2"/>
      <c r="F559" s="2"/>
      <c r="G559" s="6"/>
      <c r="H559" s="6"/>
      <c r="I559" s="2"/>
      <c r="K559" s="6"/>
      <c r="L559" s="6"/>
      <c r="AZ559" s="4"/>
    </row>
    <row r="560" ht="15.75" customHeight="1">
      <c r="A560" s="4"/>
      <c r="B560" s="4"/>
      <c r="D560" s="2"/>
      <c r="F560" s="2"/>
      <c r="G560" s="6"/>
      <c r="H560" s="6"/>
      <c r="I560" s="2"/>
      <c r="K560" s="6"/>
      <c r="L560" s="6"/>
      <c r="AZ560" s="4"/>
    </row>
    <row r="561" ht="15.75" customHeight="1">
      <c r="A561" s="4"/>
      <c r="B561" s="4"/>
      <c r="D561" s="2"/>
      <c r="F561" s="2"/>
      <c r="G561" s="6"/>
      <c r="H561" s="6"/>
      <c r="I561" s="2"/>
      <c r="K561" s="6"/>
      <c r="L561" s="6"/>
      <c r="AZ561" s="4"/>
    </row>
    <row r="562" ht="15.75" customHeight="1">
      <c r="A562" s="4"/>
      <c r="B562" s="4"/>
      <c r="D562" s="2"/>
      <c r="F562" s="2"/>
      <c r="G562" s="6"/>
      <c r="H562" s="6"/>
      <c r="I562" s="2"/>
      <c r="K562" s="6"/>
      <c r="L562" s="6"/>
      <c r="AZ562" s="4"/>
    </row>
    <row r="563" ht="15.75" customHeight="1">
      <c r="A563" s="4"/>
      <c r="B563" s="4"/>
      <c r="D563" s="2"/>
      <c r="F563" s="2"/>
      <c r="G563" s="6"/>
      <c r="H563" s="6"/>
      <c r="I563" s="2"/>
      <c r="K563" s="6"/>
      <c r="L563" s="6"/>
      <c r="AZ563" s="4"/>
    </row>
    <row r="564" ht="15.75" customHeight="1">
      <c r="A564" s="4"/>
      <c r="B564" s="4"/>
      <c r="D564" s="2"/>
      <c r="F564" s="2"/>
      <c r="G564" s="6"/>
      <c r="H564" s="6"/>
      <c r="I564" s="2"/>
      <c r="K564" s="6"/>
      <c r="L564" s="6"/>
      <c r="AZ564" s="4"/>
    </row>
    <row r="565" ht="15.75" customHeight="1">
      <c r="A565" s="4"/>
      <c r="B565" s="4"/>
      <c r="D565" s="2"/>
      <c r="F565" s="2"/>
      <c r="G565" s="6"/>
      <c r="H565" s="6"/>
      <c r="I565" s="2"/>
      <c r="K565" s="6"/>
      <c r="L565" s="6"/>
      <c r="AZ565" s="4"/>
    </row>
    <row r="566" ht="15.75" customHeight="1">
      <c r="A566" s="4"/>
      <c r="B566" s="4"/>
      <c r="D566" s="2"/>
      <c r="F566" s="2"/>
      <c r="G566" s="6"/>
      <c r="H566" s="6"/>
      <c r="I566" s="2"/>
      <c r="K566" s="6"/>
      <c r="L566" s="6"/>
      <c r="AZ566" s="4"/>
    </row>
    <row r="567" ht="15.75" customHeight="1">
      <c r="A567" s="4"/>
      <c r="B567" s="4"/>
      <c r="D567" s="2"/>
      <c r="F567" s="2"/>
      <c r="G567" s="6"/>
      <c r="H567" s="6"/>
      <c r="I567" s="2"/>
      <c r="K567" s="6"/>
      <c r="L567" s="6"/>
      <c r="AZ567" s="4"/>
    </row>
    <row r="568" ht="15.75" customHeight="1">
      <c r="A568" s="4"/>
      <c r="B568" s="4"/>
      <c r="D568" s="2"/>
      <c r="F568" s="2"/>
      <c r="G568" s="6"/>
      <c r="H568" s="6"/>
      <c r="I568" s="2"/>
      <c r="K568" s="6"/>
      <c r="L568" s="6"/>
      <c r="AZ568" s="4"/>
    </row>
    <row r="569" ht="15.75" customHeight="1">
      <c r="A569" s="4"/>
      <c r="B569" s="4"/>
      <c r="D569" s="2"/>
      <c r="F569" s="2"/>
      <c r="G569" s="6"/>
      <c r="H569" s="6"/>
      <c r="I569" s="2"/>
      <c r="K569" s="6"/>
      <c r="L569" s="6"/>
      <c r="AZ569" s="4"/>
    </row>
    <row r="570" ht="15.75" customHeight="1">
      <c r="A570" s="4"/>
      <c r="B570" s="4"/>
      <c r="D570" s="2"/>
      <c r="F570" s="2"/>
      <c r="G570" s="6"/>
      <c r="H570" s="6"/>
      <c r="I570" s="2"/>
      <c r="K570" s="6"/>
      <c r="L570" s="6"/>
      <c r="AZ570" s="4"/>
    </row>
    <row r="571" ht="15.75" customHeight="1">
      <c r="A571" s="4"/>
      <c r="B571" s="4"/>
      <c r="D571" s="2"/>
      <c r="F571" s="2"/>
      <c r="G571" s="6"/>
      <c r="H571" s="6"/>
      <c r="I571" s="2"/>
      <c r="K571" s="6"/>
      <c r="L571" s="6"/>
      <c r="AZ571" s="4"/>
    </row>
    <row r="572" ht="15.75" customHeight="1">
      <c r="A572" s="4"/>
      <c r="B572" s="4"/>
      <c r="D572" s="2"/>
      <c r="F572" s="2"/>
      <c r="G572" s="6"/>
      <c r="H572" s="6"/>
      <c r="I572" s="2"/>
      <c r="K572" s="6"/>
      <c r="L572" s="6"/>
      <c r="AZ572" s="4"/>
    </row>
    <row r="573" ht="15.75" customHeight="1">
      <c r="A573" s="4"/>
      <c r="B573" s="4"/>
      <c r="D573" s="2"/>
      <c r="F573" s="2"/>
      <c r="G573" s="6"/>
      <c r="H573" s="6"/>
      <c r="I573" s="2"/>
      <c r="K573" s="6"/>
      <c r="L573" s="6"/>
      <c r="AZ573" s="4"/>
    </row>
    <row r="574" ht="15.75" customHeight="1">
      <c r="A574" s="4"/>
      <c r="B574" s="4"/>
      <c r="D574" s="2"/>
      <c r="F574" s="2"/>
      <c r="G574" s="6"/>
      <c r="H574" s="6"/>
      <c r="I574" s="2"/>
      <c r="K574" s="6"/>
      <c r="L574" s="6"/>
      <c r="AZ574" s="4"/>
    </row>
    <row r="575" ht="15.75" customHeight="1">
      <c r="A575" s="4"/>
      <c r="B575" s="4"/>
      <c r="D575" s="2"/>
      <c r="F575" s="2"/>
      <c r="G575" s="6"/>
      <c r="H575" s="6"/>
      <c r="I575" s="2"/>
      <c r="K575" s="6"/>
      <c r="L575" s="6"/>
      <c r="AZ575" s="4"/>
    </row>
    <row r="576" ht="15.75" customHeight="1">
      <c r="A576" s="4"/>
      <c r="B576" s="4"/>
      <c r="D576" s="2"/>
      <c r="F576" s="2"/>
      <c r="G576" s="6"/>
      <c r="H576" s="6"/>
      <c r="I576" s="2"/>
      <c r="K576" s="6"/>
      <c r="L576" s="6"/>
      <c r="AZ576" s="4"/>
    </row>
    <row r="577" ht="15.75" customHeight="1">
      <c r="A577" s="4"/>
      <c r="B577" s="4"/>
      <c r="D577" s="2"/>
      <c r="F577" s="2"/>
      <c r="G577" s="6"/>
      <c r="H577" s="6"/>
      <c r="I577" s="2"/>
      <c r="K577" s="6"/>
      <c r="L577" s="6"/>
      <c r="AZ577" s="4"/>
    </row>
    <row r="578" ht="15.75" customHeight="1">
      <c r="A578" s="4"/>
      <c r="B578" s="4"/>
      <c r="D578" s="2"/>
      <c r="F578" s="2"/>
      <c r="G578" s="6"/>
      <c r="H578" s="6"/>
      <c r="I578" s="2"/>
      <c r="K578" s="6"/>
      <c r="L578" s="6"/>
      <c r="AZ578" s="4"/>
    </row>
    <row r="579" ht="15.75" customHeight="1">
      <c r="A579" s="4"/>
      <c r="B579" s="4"/>
      <c r="D579" s="2"/>
      <c r="F579" s="2"/>
      <c r="G579" s="6"/>
      <c r="H579" s="6"/>
      <c r="I579" s="2"/>
      <c r="K579" s="6"/>
      <c r="L579" s="6"/>
      <c r="AZ579" s="4"/>
    </row>
    <row r="580" ht="15.75" customHeight="1">
      <c r="A580" s="4"/>
      <c r="B580" s="4"/>
      <c r="D580" s="2"/>
      <c r="F580" s="2"/>
      <c r="G580" s="6"/>
      <c r="H580" s="6"/>
      <c r="I580" s="2"/>
      <c r="K580" s="6"/>
      <c r="L580" s="6"/>
      <c r="AZ580" s="4"/>
    </row>
    <row r="581" ht="15.75" customHeight="1">
      <c r="A581" s="4"/>
      <c r="B581" s="4"/>
      <c r="D581" s="2"/>
      <c r="F581" s="2"/>
      <c r="G581" s="6"/>
      <c r="H581" s="6"/>
      <c r="I581" s="2"/>
      <c r="K581" s="6"/>
      <c r="L581" s="6"/>
      <c r="AZ581" s="4"/>
    </row>
    <row r="582" ht="15.75" customHeight="1">
      <c r="A582" s="4"/>
      <c r="B582" s="4"/>
      <c r="D582" s="2"/>
      <c r="F582" s="2"/>
      <c r="G582" s="6"/>
      <c r="H582" s="6"/>
      <c r="I582" s="2"/>
      <c r="K582" s="6"/>
      <c r="L582" s="6"/>
      <c r="AZ582" s="4"/>
    </row>
    <row r="583" ht="15.75" customHeight="1">
      <c r="A583" s="4"/>
      <c r="B583" s="4"/>
      <c r="D583" s="2"/>
      <c r="F583" s="2"/>
      <c r="G583" s="6"/>
      <c r="H583" s="6"/>
      <c r="I583" s="2"/>
      <c r="K583" s="6"/>
      <c r="L583" s="6"/>
      <c r="AZ583" s="4"/>
    </row>
    <row r="584" ht="15.75" customHeight="1">
      <c r="A584" s="4"/>
      <c r="B584" s="4"/>
      <c r="D584" s="2"/>
      <c r="F584" s="2"/>
      <c r="G584" s="6"/>
      <c r="H584" s="6"/>
      <c r="I584" s="2"/>
      <c r="K584" s="6"/>
      <c r="L584" s="6"/>
      <c r="AZ584" s="4"/>
    </row>
    <row r="585" ht="15.75" customHeight="1">
      <c r="A585" s="4"/>
      <c r="B585" s="4"/>
      <c r="D585" s="2"/>
      <c r="F585" s="2"/>
      <c r="G585" s="6"/>
      <c r="H585" s="6"/>
      <c r="I585" s="2"/>
      <c r="K585" s="6"/>
      <c r="L585" s="6"/>
      <c r="AZ585" s="4"/>
    </row>
    <row r="586" ht="15.75" customHeight="1">
      <c r="A586" s="4"/>
      <c r="B586" s="4"/>
      <c r="D586" s="2"/>
      <c r="F586" s="2"/>
      <c r="G586" s="6"/>
      <c r="H586" s="6"/>
      <c r="I586" s="2"/>
      <c r="K586" s="6"/>
      <c r="L586" s="6"/>
      <c r="AZ586" s="4"/>
    </row>
    <row r="587" ht="15.75" customHeight="1">
      <c r="A587" s="4"/>
      <c r="B587" s="4"/>
      <c r="D587" s="2"/>
      <c r="F587" s="2"/>
      <c r="G587" s="6"/>
      <c r="H587" s="6"/>
      <c r="I587" s="2"/>
      <c r="K587" s="6"/>
      <c r="L587" s="6"/>
      <c r="AZ587" s="4"/>
    </row>
    <row r="588" ht="15.75" customHeight="1">
      <c r="A588" s="4"/>
      <c r="B588" s="4"/>
      <c r="D588" s="2"/>
      <c r="F588" s="2"/>
      <c r="G588" s="6"/>
      <c r="H588" s="6"/>
      <c r="I588" s="2"/>
      <c r="K588" s="6"/>
      <c r="L588" s="6"/>
      <c r="AZ588" s="4"/>
    </row>
    <row r="589" ht="15.75" customHeight="1">
      <c r="A589" s="4"/>
      <c r="B589" s="4"/>
      <c r="D589" s="2"/>
      <c r="F589" s="2"/>
      <c r="G589" s="6"/>
      <c r="H589" s="6"/>
      <c r="I589" s="2"/>
      <c r="K589" s="6"/>
      <c r="L589" s="6"/>
      <c r="AZ589" s="4"/>
    </row>
    <row r="590" ht="15.75" customHeight="1">
      <c r="A590" s="4"/>
      <c r="B590" s="4"/>
      <c r="D590" s="2"/>
      <c r="F590" s="2"/>
      <c r="G590" s="6"/>
      <c r="H590" s="6"/>
      <c r="I590" s="2"/>
      <c r="K590" s="6"/>
      <c r="L590" s="6"/>
      <c r="AZ590" s="4"/>
    </row>
    <row r="591" ht="15.75" customHeight="1">
      <c r="A591" s="4"/>
      <c r="B591" s="4"/>
      <c r="D591" s="2"/>
      <c r="F591" s="2"/>
      <c r="G591" s="6"/>
      <c r="H591" s="6"/>
      <c r="I591" s="2"/>
      <c r="K591" s="6"/>
      <c r="L591" s="6"/>
      <c r="AZ591" s="4"/>
    </row>
    <row r="592" ht="15.75" customHeight="1">
      <c r="A592" s="4"/>
      <c r="B592" s="4"/>
      <c r="D592" s="2"/>
      <c r="F592" s="2"/>
      <c r="G592" s="6"/>
      <c r="H592" s="6"/>
      <c r="I592" s="2"/>
      <c r="K592" s="6"/>
      <c r="L592" s="6"/>
      <c r="AZ592" s="4"/>
    </row>
    <row r="593" ht="15.75" customHeight="1">
      <c r="A593" s="4"/>
      <c r="B593" s="4"/>
      <c r="D593" s="2"/>
      <c r="F593" s="2"/>
      <c r="G593" s="6"/>
      <c r="H593" s="6"/>
      <c r="I593" s="2"/>
      <c r="K593" s="6"/>
      <c r="L593" s="6"/>
      <c r="AZ593" s="4"/>
    </row>
    <row r="594" ht="15.75" customHeight="1">
      <c r="A594" s="4"/>
      <c r="B594" s="4"/>
      <c r="D594" s="2"/>
      <c r="F594" s="2"/>
      <c r="G594" s="6"/>
      <c r="H594" s="6"/>
      <c r="I594" s="2"/>
      <c r="K594" s="6"/>
      <c r="L594" s="6"/>
      <c r="AZ594" s="4"/>
    </row>
    <row r="595" ht="15.75" customHeight="1">
      <c r="A595" s="4"/>
      <c r="B595" s="4"/>
      <c r="D595" s="2"/>
      <c r="F595" s="2"/>
      <c r="G595" s="6"/>
      <c r="H595" s="6"/>
      <c r="I595" s="2"/>
      <c r="K595" s="6"/>
      <c r="L595" s="6"/>
      <c r="AZ595" s="4"/>
    </row>
    <row r="596" ht="15.75" customHeight="1">
      <c r="A596" s="4"/>
      <c r="B596" s="4"/>
      <c r="D596" s="2"/>
      <c r="F596" s="2"/>
      <c r="G596" s="6"/>
      <c r="H596" s="6"/>
      <c r="I596" s="2"/>
      <c r="K596" s="6"/>
      <c r="L596" s="6"/>
      <c r="AZ596" s="4"/>
    </row>
    <row r="597" ht="15.75" customHeight="1">
      <c r="A597" s="4"/>
      <c r="B597" s="4"/>
      <c r="D597" s="2"/>
      <c r="F597" s="2"/>
      <c r="G597" s="6"/>
      <c r="H597" s="6"/>
      <c r="I597" s="2"/>
      <c r="K597" s="6"/>
      <c r="L597" s="6"/>
      <c r="AZ597" s="4"/>
    </row>
    <row r="598" ht="15.75" customHeight="1">
      <c r="A598" s="4"/>
      <c r="B598" s="4"/>
      <c r="D598" s="2"/>
      <c r="F598" s="2"/>
      <c r="G598" s="6"/>
      <c r="H598" s="6"/>
      <c r="I598" s="2"/>
      <c r="K598" s="6"/>
      <c r="L598" s="6"/>
      <c r="AZ598" s="4"/>
    </row>
    <row r="599" ht="15.75" customHeight="1">
      <c r="A599" s="4"/>
      <c r="B599" s="4"/>
      <c r="D599" s="2"/>
      <c r="F599" s="2"/>
      <c r="G599" s="6"/>
      <c r="H599" s="6"/>
      <c r="I599" s="2"/>
      <c r="K599" s="6"/>
      <c r="L599" s="6"/>
      <c r="AZ599" s="4"/>
    </row>
    <row r="600" ht="15.75" customHeight="1">
      <c r="A600" s="4"/>
      <c r="B600" s="4"/>
      <c r="D600" s="2"/>
      <c r="F600" s="2"/>
      <c r="G600" s="6"/>
      <c r="H600" s="6"/>
      <c r="I600" s="2"/>
      <c r="K600" s="6"/>
      <c r="L600" s="6"/>
      <c r="AZ600" s="4"/>
    </row>
    <row r="601" ht="15.75" customHeight="1">
      <c r="A601" s="4"/>
      <c r="B601" s="4"/>
      <c r="D601" s="2"/>
      <c r="F601" s="2"/>
      <c r="G601" s="6"/>
      <c r="H601" s="6"/>
      <c r="I601" s="2"/>
      <c r="K601" s="6"/>
      <c r="L601" s="6"/>
      <c r="AZ601" s="4"/>
    </row>
    <row r="602" ht="15.75" customHeight="1">
      <c r="A602" s="4"/>
      <c r="B602" s="4"/>
      <c r="D602" s="2"/>
      <c r="F602" s="2"/>
      <c r="G602" s="6"/>
      <c r="H602" s="6"/>
      <c r="I602" s="2"/>
      <c r="K602" s="6"/>
      <c r="L602" s="6"/>
      <c r="AZ602" s="4"/>
    </row>
    <row r="603" ht="15.75" customHeight="1">
      <c r="A603" s="4"/>
      <c r="B603" s="4"/>
      <c r="D603" s="2"/>
      <c r="F603" s="2"/>
      <c r="G603" s="6"/>
      <c r="H603" s="6"/>
      <c r="I603" s="2"/>
      <c r="K603" s="6"/>
      <c r="L603" s="6"/>
      <c r="AZ603" s="4"/>
    </row>
    <row r="604" ht="15.75" customHeight="1">
      <c r="A604" s="4"/>
      <c r="B604" s="4"/>
      <c r="D604" s="2"/>
      <c r="F604" s="2"/>
      <c r="G604" s="6"/>
      <c r="H604" s="6"/>
      <c r="I604" s="2"/>
      <c r="K604" s="6"/>
      <c r="L604" s="6"/>
      <c r="AZ604" s="4"/>
    </row>
    <row r="605" ht="15.75" customHeight="1">
      <c r="A605" s="4"/>
      <c r="B605" s="4"/>
      <c r="D605" s="2"/>
      <c r="F605" s="2"/>
      <c r="G605" s="6"/>
      <c r="H605" s="6"/>
      <c r="I605" s="2"/>
      <c r="K605" s="6"/>
      <c r="L605" s="6"/>
      <c r="AZ605" s="4"/>
    </row>
    <row r="606" ht="15.75" customHeight="1">
      <c r="A606" s="4"/>
      <c r="B606" s="4"/>
      <c r="D606" s="2"/>
      <c r="F606" s="2"/>
      <c r="G606" s="6"/>
      <c r="H606" s="6"/>
      <c r="I606" s="2"/>
      <c r="K606" s="6"/>
      <c r="L606" s="6"/>
      <c r="AZ606" s="4"/>
    </row>
    <row r="607" ht="15.75" customHeight="1">
      <c r="A607" s="4"/>
      <c r="B607" s="4"/>
      <c r="D607" s="2"/>
      <c r="F607" s="2"/>
      <c r="G607" s="6"/>
      <c r="H607" s="6"/>
      <c r="I607" s="2"/>
      <c r="K607" s="6"/>
      <c r="L607" s="6"/>
      <c r="AZ607" s="4"/>
    </row>
    <row r="608" ht="15.75" customHeight="1">
      <c r="A608" s="4"/>
      <c r="B608" s="4"/>
      <c r="D608" s="2"/>
      <c r="F608" s="2"/>
      <c r="G608" s="6"/>
      <c r="H608" s="6"/>
      <c r="I608" s="2"/>
      <c r="K608" s="6"/>
      <c r="L608" s="6"/>
      <c r="AZ608" s="4"/>
    </row>
    <row r="609" ht="15.75" customHeight="1">
      <c r="A609" s="4"/>
      <c r="B609" s="4"/>
      <c r="D609" s="2"/>
      <c r="F609" s="2"/>
      <c r="G609" s="6"/>
      <c r="H609" s="6"/>
      <c r="I609" s="2"/>
      <c r="K609" s="6"/>
      <c r="L609" s="6"/>
      <c r="AZ609" s="4"/>
    </row>
    <row r="610" ht="15.75" customHeight="1">
      <c r="A610" s="4"/>
      <c r="B610" s="4"/>
      <c r="D610" s="2"/>
      <c r="F610" s="2"/>
      <c r="G610" s="6"/>
      <c r="H610" s="6"/>
      <c r="I610" s="2"/>
      <c r="K610" s="6"/>
      <c r="L610" s="6"/>
      <c r="AZ610" s="4"/>
    </row>
    <row r="611" ht="15.75" customHeight="1">
      <c r="A611" s="4"/>
      <c r="B611" s="4"/>
      <c r="D611" s="2"/>
      <c r="F611" s="2"/>
      <c r="G611" s="6"/>
      <c r="H611" s="6"/>
      <c r="I611" s="2"/>
      <c r="K611" s="6"/>
      <c r="L611" s="6"/>
      <c r="AZ611" s="4"/>
    </row>
    <row r="612" ht="15.75" customHeight="1">
      <c r="A612" s="4"/>
      <c r="B612" s="4"/>
      <c r="D612" s="2"/>
      <c r="F612" s="2"/>
      <c r="G612" s="6"/>
      <c r="H612" s="6"/>
      <c r="I612" s="2"/>
      <c r="K612" s="6"/>
      <c r="L612" s="6"/>
      <c r="AZ612" s="4"/>
    </row>
    <row r="613" ht="15.75" customHeight="1">
      <c r="A613" s="4"/>
      <c r="B613" s="4"/>
      <c r="D613" s="2"/>
      <c r="F613" s="2"/>
      <c r="G613" s="6"/>
      <c r="H613" s="6"/>
      <c r="I613" s="2"/>
      <c r="K613" s="6"/>
      <c r="L613" s="6"/>
      <c r="AZ613" s="4"/>
    </row>
    <row r="614" ht="15.75" customHeight="1">
      <c r="A614" s="4"/>
      <c r="B614" s="4"/>
      <c r="D614" s="2"/>
      <c r="F614" s="2"/>
      <c r="G614" s="6"/>
      <c r="H614" s="6"/>
      <c r="I614" s="2"/>
      <c r="K614" s="6"/>
      <c r="L614" s="6"/>
      <c r="AZ614" s="4"/>
    </row>
    <row r="615" ht="15.75" customHeight="1">
      <c r="A615" s="4"/>
      <c r="B615" s="4"/>
      <c r="D615" s="2"/>
      <c r="F615" s="2"/>
      <c r="G615" s="6"/>
      <c r="H615" s="6"/>
      <c r="I615" s="2"/>
      <c r="K615" s="6"/>
      <c r="L615" s="6"/>
      <c r="AZ615" s="4"/>
    </row>
    <row r="616" ht="15.75" customHeight="1">
      <c r="A616" s="4"/>
      <c r="B616" s="4"/>
      <c r="D616" s="2"/>
      <c r="F616" s="2"/>
      <c r="G616" s="6"/>
      <c r="H616" s="6"/>
      <c r="I616" s="2"/>
      <c r="K616" s="6"/>
      <c r="L616" s="6"/>
      <c r="AZ616" s="4"/>
    </row>
    <row r="617" ht="15.75" customHeight="1">
      <c r="A617" s="4"/>
      <c r="B617" s="4"/>
      <c r="D617" s="2"/>
      <c r="F617" s="2"/>
      <c r="G617" s="6"/>
      <c r="H617" s="6"/>
      <c r="I617" s="2"/>
      <c r="K617" s="6"/>
      <c r="L617" s="6"/>
      <c r="AZ617" s="4"/>
    </row>
    <row r="618" ht="15.75" customHeight="1">
      <c r="A618" s="4"/>
      <c r="B618" s="4"/>
      <c r="D618" s="2"/>
      <c r="F618" s="2"/>
      <c r="G618" s="6"/>
      <c r="H618" s="6"/>
      <c r="I618" s="2"/>
      <c r="K618" s="6"/>
      <c r="L618" s="6"/>
      <c r="AZ618" s="4"/>
    </row>
    <row r="619" ht="15.75" customHeight="1">
      <c r="A619" s="4"/>
      <c r="B619" s="4"/>
      <c r="D619" s="2"/>
      <c r="F619" s="2"/>
      <c r="G619" s="6"/>
      <c r="H619" s="6"/>
      <c r="I619" s="2"/>
      <c r="K619" s="6"/>
      <c r="L619" s="6"/>
      <c r="AZ619" s="4"/>
    </row>
    <row r="620" ht="15.75" customHeight="1">
      <c r="A620" s="4"/>
      <c r="B620" s="4"/>
      <c r="D620" s="2"/>
      <c r="F620" s="2"/>
      <c r="G620" s="6"/>
      <c r="H620" s="6"/>
      <c r="I620" s="2"/>
      <c r="K620" s="6"/>
      <c r="L620" s="6"/>
      <c r="AZ620" s="4"/>
    </row>
    <row r="621" ht="15.75" customHeight="1">
      <c r="A621" s="4"/>
      <c r="B621" s="4"/>
      <c r="D621" s="2"/>
      <c r="F621" s="2"/>
      <c r="G621" s="6"/>
      <c r="H621" s="6"/>
      <c r="I621" s="2"/>
      <c r="K621" s="6"/>
      <c r="L621" s="6"/>
      <c r="AZ621" s="4"/>
    </row>
    <row r="622" ht="15.75" customHeight="1">
      <c r="A622" s="4"/>
      <c r="B622" s="4"/>
      <c r="D622" s="2"/>
      <c r="F622" s="2"/>
      <c r="G622" s="6"/>
      <c r="H622" s="6"/>
      <c r="I622" s="2"/>
      <c r="K622" s="6"/>
      <c r="L622" s="6"/>
      <c r="AZ622" s="4"/>
    </row>
    <row r="623" ht="15.75" customHeight="1">
      <c r="A623" s="4"/>
      <c r="B623" s="4"/>
      <c r="D623" s="2"/>
      <c r="F623" s="2"/>
      <c r="G623" s="6"/>
      <c r="H623" s="6"/>
      <c r="I623" s="2"/>
      <c r="K623" s="6"/>
      <c r="L623" s="6"/>
      <c r="AZ623" s="4"/>
    </row>
    <row r="624" ht="15.75" customHeight="1">
      <c r="A624" s="4"/>
      <c r="B624" s="4"/>
      <c r="D624" s="2"/>
      <c r="F624" s="2"/>
      <c r="G624" s="6"/>
      <c r="H624" s="6"/>
      <c r="I624" s="2"/>
      <c r="K624" s="6"/>
      <c r="L624" s="6"/>
      <c r="AZ624" s="4"/>
    </row>
    <row r="625" ht="15.75" customHeight="1">
      <c r="A625" s="4"/>
      <c r="B625" s="4"/>
      <c r="D625" s="2"/>
      <c r="F625" s="2"/>
      <c r="G625" s="6"/>
      <c r="H625" s="6"/>
      <c r="I625" s="2"/>
      <c r="K625" s="6"/>
      <c r="L625" s="6"/>
      <c r="AZ625" s="4"/>
    </row>
    <row r="626" ht="15.75" customHeight="1">
      <c r="A626" s="4"/>
      <c r="B626" s="4"/>
      <c r="D626" s="2"/>
      <c r="F626" s="2"/>
      <c r="G626" s="6"/>
      <c r="H626" s="6"/>
      <c r="I626" s="2"/>
      <c r="K626" s="6"/>
      <c r="L626" s="6"/>
      <c r="AZ626" s="4"/>
    </row>
    <row r="627" ht="15.75" customHeight="1">
      <c r="A627" s="4"/>
      <c r="B627" s="4"/>
      <c r="D627" s="2"/>
      <c r="F627" s="2"/>
      <c r="G627" s="6"/>
      <c r="H627" s="6"/>
      <c r="I627" s="2"/>
      <c r="K627" s="6"/>
      <c r="L627" s="6"/>
      <c r="AZ627" s="4"/>
    </row>
    <row r="628" ht="15.75" customHeight="1">
      <c r="A628" s="4"/>
      <c r="B628" s="4"/>
      <c r="D628" s="2"/>
      <c r="F628" s="2"/>
      <c r="G628" s="6"/>
      <c r="H628" s="6"/>
      <c r="I628" s="2"/>
      <c r="K628" s="6"/>
      <c r="L628" s="6"/>
      <c r="AZ628" s="4"/>
    </row>
    <row r="629" ht="15.75" customHeight="1">
      <c r="A629" s="4"/>
      <c r="B629" s="4"/>
      <c r="D629" s="2"/>
      <c r="F629" s="2"/>
      <c r="G629" s="6"/>
      <c r="H629" s="6"/>
      <c r="I629" s="2"/>
      <c r="K629" s="6"/>
      <c r="L629" s="6"/>
      <c r="AZ629" s="4"/>
    </row>
    <row r="630" ht="15.75" customHeight="1">
      <c r="A630" s="4"/>
      <c r="B630" s="4"/>
      <c r="D630" s="2"/>
      <c r="F630" s="2"/>
      <c r="G630" s="6"/>
      <c r="H630" s="6"/>
      <c r="I630" s="2"/>
      <c r="K630" s="6"/>
      <c r="L630" s="6"/>
      <c r="AZ630" s="4"/>
    </row>
    <row r="631" ht="15.75" customHeight="1">
      <c r="A631" s="4"/>
      <c r="B631" s="4"/>
      <c r="D631" s="2"/>
      <c r="F631" s="2"/>
      <c r="G631" s="6"/>
      <c r="H631" s="6"/>
      <c r="I631" s="2"/>
      <c r="K631" s="6"/>
      <c r="L631" s="6"/>
      <c r="AZ631" s="4"/>
    </row>
    <row r="632" ht="15.75" customHeight="1">
      <c r="A632" s="4"/>
      <c r="B632" s="4"/>
      <c r="D632" s="2"/>
      <c r="F632" s="2"/>
      <c r="G632" s="6"/>
      <c r="H632" s="6"/>
      <c r="I632" s="2"/>
      <c r="K632" s="6"/>
      <c r="L632" s="6"/>
      <c r="AZ632" s="4"/>
    </row>
    <row r="633" ht="15.75" customHeight="1">
      <c r="A633" s="4"/>
      <c r="B633" s="4"/>
      <c r="D633" s="2"/>
      <c r="F633" s="2"/>
      <c r="G633" s="6"/>
      <c r="H633" s="6"/>
      <c r="I633" s="2"/>
      <c r="K633" s="6"/>
      <c r="L633" s="6"/>
      <c r="AZ633" s="4"/>
    </row>
    <row r="634" ht="15.75" customHeight="1">
      <c r="A634" s="4"/>
      <c r="B634" s="4"/>
      <c r="D634" s="2"/>
      <c r="F634" s="2"/>
      <c r="G634" s="6"/>
      <c r="H634" s="6"/>
      <c r="I634" s="2"/>
      <c r="K634" s="6"/>
      <c r="L634" s="6"/>
      <c r="AZ634" s="4"/>
    </row>
    <row r="635" ht="15.75" customHeight="1">
      <c r="A635" s="4"/>
      <c r="B635" s="4"/>
      <c r="D635" s="2"/>
      <c r="F635" s="2"/>
      <c r="G635" s="6"/>
      <c r="H635" s="6"/>
      <c r="I635" s="2"/>
      <c r="K635" s="6"/>
      <c r="L635" s="6"/>
      <c r="AZ635" s="4"/>
    </row>
    <row r="636" ht="15.75" customHeight="1">
      <c r="A636" s="4"/>
      <c r="B636" s="4"/>
      <c r="D636" s="2"/>
      <c r="F636" s="2"/>
      <c r="G636" s="6"/>
      <c r="H636" s="6"/>
      <c r="I636" s="2"/>
      <c r="K636" s="6"/>
      <c r="L636" s="6"/>
      <c r="AZ636" s="4"/>
    </row>
    <row r="637" ht="15.75" customHeight="1">
      <c r="A637" s="4"/>
      <c r="B637" s="4"/>
      <c r="D637" s="2"/>
      <c r="F637" s="2"/>
      <c r="G637" s="6"/>
      <c r="H637" s="6"/>
      <c r="I637" s="2"/>
      <c r="K637" s="6"/>
      <c r="L637" s="6"/>
      <c r="AZ637" s="4"/>
    </row>
    <row r="638" ht="15.75" customHeight="1">
      <c r="A638" s="4"/>
      <c r="B638" s="4"/>
      <c r="D638" s="2"/>
      <c r="F638" s="2"/>
      <c r="G638" s="6"/>
      <c r="H638" s="6"/>
      <c r="I638" s="2"/>
      <c r="K638" s="6"/>
      <c r="L638" s="6"/>
      <c r="AZ638" s="4"/>
    </row>
    <row r="639" ht="15.75" customHeight="1">
      <c r="A639" s="4"/>
      <c r="B639" s="4"/>
      <c r="D639" s="2"/>
      <c r="F639" s="2"/>
      <c r="G639" s="6"/>
      <c r="H639" s="6"/>
      <c r="I639" s="2"/>
      <c r="K639" s="6"/>
      <c r="L639" s="6"/>
      <c r="AZ639" s="4"/>
    </row>
    <row r="640" ht="15.75" customHeight="1">
      <c r="A640" s="4"/>
      <c r="B640" s="4"/>
      <c r="D640" s="2"/>
      <c r="F640" s="2"/>
      <c r="G640" s="6"/>
      <c r="H640" s="6"/>
      <c r="I640" s="2"/>
      <c r="K640" s="6"/>
      <c r="L640" s="6"/>
      <c r="AZ640" s="4"/>
    </row>
    <row r="641" ht="15.75" customHeight="1">
      <c r="A641" s="4"/>
      <c r="B641" s="4"/>
      <c r="D641" s="2"/>
      <c r="F641" s="2"/>
      <c r="G641" s="6"/>
      <c r="H641" s="6"/>
      <c r="I641" s="2"/>
      <c r="K641" s="6"/>
      <c r="L641" s="6"/>
      <c r="AZ641" s="4"/>
    </row>
    <row r="642" ht="15.75" customHeight="1">
      <c r="A642" s="4"/>
      <c r="B642" s="4"/>
      <c r="D642" s="2"/>
      <c r="F642" s="2"/>
      <c r="G642" s="6"/>
      <c r="H642" s="6"/>
      <c r="I642" s="2"/>
      <c r="K642" s="6"/>
      <c r="L642" s="6"/>
      <c r="AZ642" s="4"/>
    </row>
    <row r="643" ht="15.75" customHeight="1">
      <c r="A643" s="4"/>
      <c r="B643" s="4"/>
      <c r="D643" s="2"/>
      <c r="F643" s="2"/>
      <c r="G643" s="6"/>
      <c r="H643" s="6"/>
      <c r="I643" s="2"/>
      <c r="K643" s="6"/>
      <c r="L643" s="6"/>
      <c r="AZ643" s="4"/>
    </row>
    <row r="644" ht="15.75" customHeight="1">
      <c r="A644" s="4"/>
      <c r="B644" s="4"/>
      <c r="D644" s="2"/>
      <c r="F644" s="2"/>
      <c r="G644" s="6"/>
      <c r="H644" s="6"/>
      <c r="I644" s="2"/>
      <c r="K644" s="6"/>
      <c r="L644" s="6"/>
      <c r="AZ644" s="4"/>
    </row>
    <row r="645" ht="15.75" customHeight="1">
      <c r="A645" s="4"/>
      <c r="B645" s="4"/>
      <c r="D645" s="2"/>
      <c r="F645" s="2"/>
      <c r="G645" s="6"/>
      <c r="H645" s="6"/>
      <c r="I645" s="2"/>
      <c r="K645" s="6"/>
      <c r="L645" s="6"/>
      <c r="AZ645" s="4"/>
    </row>
    <row r="646" ht="15.75" customHeight="1">
      <c r="A646" s="4"/>
      <c r="B646" s="4"/>
      <c r="D646" s="2"/>
      <c r="F646" s="2"/>
      <c r="G646" s="6"/>
      <c r="H646" s="6"/>
      <c r="I646" s="2"/>
      <c r="K646" s="6"/>
      <c r="L646" s="6"/>
      <c r="AZ646" s="4"/>
    </row>
    <row r="647" ht="15.75" customHeight="1">
      <c r="A647" s="4"/>
      <c r="B647" s="4"/>
      <c r="D647" s="2"/>
      <c r="F647" s="2"/>
      <c r="G647" s="6"/>
      <c r="H647" s="6"/>
      <c r="I647" s="2"/>
      <c r="K647" s="6"/>
      <c r="L647" s="6"/>
      <c r="AZ647" s="4"/>
    </row>
    <row r="648" ht="15.75" customHeight="1">
      <c r="A648" s="4"/>
      <c r="B648" s="4"/>
      <c r="D648" s="2"/>
      <c r="F648" s="2"/>
      <c r="G648" s="6"/>
      <c r="H648" s="6"/>
      <c r="I648" s="2"/>
      <c r="K648" s="6"/>
      <c r="L648" s="6"/>
      <c r="AZ648" s="4"/>
    </row>
    <row r="649" ht="15.75" customHeight="1">
      <c r="A649" s="4"/>
      <c r="B649" s="4"/>
      <c r="D649" s="2"/>
      <c r="F649" s="2"/>
      <c r="G649" s="6"/>
      <c r="H649" s="6"/>
      <c r="I649" s="2"/>
      <c r="K649" s="6"/>
      <c r="L649" s="6"/>
      <c r="AZ649" s="4"/>
    </row>
    <row r="650" ht="15.75" customHeight="1">
      <c r="A650" s="4"/>
      <c r="B650" s="4"/>
      <c r="D650" s="2"/>
      <c r="F650" s="2"/>
      <c r="G650" s="6"/>
      <c r="H650" s="6"/>
      <c r="I650" s="2"/>
      <c r="K650" s="6"/>
      <c r="L650" s="6"/>
      <c r="AZ650" s="4"/>
    </row>
    <row r="651" ht="15.75" customHeight="1">
      <c r="A651" s="4"/>
      <c r="B651" s="4"/>
      <c r="D651" s="2"/>
      <c r="F651" s="2"/>
      <c r="G651" s="6"/>
      <c r="H651" s="6"/>
      <c r="I651" s="2"/>
      <c r="K651" s="6"/>
      <c r="L651" s="6"/>
      <c r="AZ651" s="4"/>
    </row>
    <row r="652" ht="15.75" customHeight="1">
      <c r="A652" s="4"/>
      <c r="B652" s="4"/>
      <c r="D652" s="2"/>
      <c r="F652" s="2"/>
      <c r="G652" s="6"/>
      <c r="H652" s="6"/>
      <c r="I652" s="2"/>
      <c r="K652" s="6"/>
      <c r="L652" s="6"/>
      <c r="AZ652" s="4"/>
    </row>
    <row r="653" ht="15.75" customHeight="1">
      <c r="A653" s="4"/>
      <c r="B653" s="4"/>
      <c r="D653" s="2"/>
      <c r="F653" s="2"/>
      <c r="G653" s="6"/>
      <c r="H653" s="6"/>
      <c r="I653" s="2"/>
      <c r="K653" s="6"/>
      <c r="L653" s="6"/>
      <c r="AZ653" s="4"/>
    </row>
    <row r="654" ht="15.75" customHeight="1">
      <c r="A654" s="4"/>
      <c r="B654" s="4"/>
      <c r="D654" s="2"/>
      <c r="F654" s="2"/>
      <c r="G654" s="6"/>
      <c r="H654" s="6"/>
      <c r="I654" s="2"/>
      <c r="K654" s="6"/>
      <c r="L654" s="6"/>
      <c r="AZ654" s="4"/>
    </row>
    <row r="655" ht="15.75" customHeight="1">
      <c r="A655" s="4"/>
      <c r="B655" s="4"/>
      <c r="D655" s="2"/>
      <c r="F655" s="2"/>
      <c r="G655" s="6"/>
      <c r="H655" s="6"/>
      <c r="I655" s="2"/>
      <c r="K655" s="6"/>
      <c r="L655" s="6"/>
      <c r="AZ655" s="4"/>
    </row>
    <row r="656" ht="15.75" customHeight="1">
      <c r="A656" s="4"/>
      <c r="B656" s="4"/>
      <c r="D656" s="2"/>
      <c r="F656" s="2"/>
      <c r="G656" s="6"/>
      <c r="H656" s="6"/>
      <c r="I656" s="2"/>
      <c r="K656" s="6"/>
      <c r="L656" s="6"/>
      <c r="AZ656" s="4"/>
    </row>
    <row r="657" ht="15.75" customHeight="1">
      <c r="A657" s="4"/>
      <c r="B657" s="4"/>
      <c r="D657" s="2"/>
      <c r="F657" s="2"/>
      <c r="G657" s="6"/>
      <c r="H657" s="6"/>
      <c r="I657" s="2"/>
      <c r="K657" s="6"/>
      <c r="L657" s="6"/>
      <c r="AZ657" s="4"/>
    </row>
    <row r="658" ht="15.75" customHeight="1">
      <c r="A658" s="4"/>
      <c r="B658" s="4"/>
      <c r="D658" s="2"/>
      <c r="F658" s="2"/>
      <c r="G658" s="6"/>
      <c r="H658" s="6"/>
      <c r="I658" s="2"/>
      <c r="K658" s="6"/>
      <c r="L658" s="6"/>
      <c r="AZ658" s="4"/>
    </row>
    <row r="659" ht="15.75" customHeight="1">
      <c r="A659" s="4"/>
      <c r="B659" s="4"/>
      <c r="D659" s="2"/>
      <c r="F659" s="2"/>
      <c r="G659" s="6"/>
      <c r="H659" s="6"/>
      <c r="I659" s="2"/>
      <c r="K659" s="6"/>
      <c r="L659" s="6"/>
      <c r="AZ659" s="4"/>
    </row>
    <row r="660" ht="15.75" customHeight="1">
      <c r="A660" s="4"/>
      <c r="B660" s="4"/>
      <c r="D660" s="2"/>
      <c r="F660" s="2"/>
      <c r="G660" s="6"/>
      <c r="H660" s="6"/>
      <c r="I660" s="2"/>
      <c r="K660" s="6"/>
      <c r="L660" s="6"/>
      <c r="AZ660" s="4"/>
    </row>
    <row r="661" ht="15.75" customHeight="1">
      <c r="A661" s="4"/>
      <c r="B661" s="4"/>
      <c r="D661" s="2"/>
      <c r="F661" s="2"/>
      <c r="G661" s="6"/>
      <c r="H661" s="6"/>
      <c r="I661" s="2"/>
      <c r="K661" s="6"/>
      <c r="L661" s="6"/>
      <c r="AZ661" s="4"/>
    </row>
    <row r="662" ht="15.75" customHeight="1">
      <c r="A662" s="4"/>
      <c r="B662" s="4"/>
      <c r="D662" s="2"/>
      <c r="F662" s="2"/>
      <c r="G662" s="6"/>
      <c r="H662" s="6"/>
      <c r="I662" s="2"/>
      <c r="K662" s="6"/>
      <c r="L662" s="6"/>
      <c r="AZ662" s="4"/>
    </row>
    <row r="663" ht="15.75" customHeight="1">
      <c r="A663" s="4"/>
      <c r="B663" s="4"/>
      <c r="D663" s="2"/>
      <c r="F663" s="2"/>
      <c r="G663" s="6"/>
      <c r="H663" s="6"/>
      <c r="I663" s="2"/>
      <c r="K663" s="6"/>
      <c r="L663" s="6"/>
      <c r="AZ663" s="4"/>
    </row>
    <row r="664" ht="15.75" customHeight="1">
      <c r="A664" s="4"/>
      <c r="B664" s="4"/>
      <c r="D664" s="2"/>
      <c r="F664" s="2"/>
      <c r="G664" s="6"/>
      <c r="H664" s="6"/>
      <c r="I664" s="2"/>
      <c r="K664" s="6"/>
      <c r="L664" s="6"/>
      <c r="AZ664" s="4"/>
    </row>
    <row r="665" ht="15.75" customHeight="1">
      <c r="A665" s="4"/>
      <c r="B665" s="4"/>
      <c r="D665" s="2"/>
      <c r="F665" s="2"/>
      <c r="G665" s="6"/>
      <c r="H665" s="6"/>
      <c r="I665" s="2"/>
      <c r="K665" s="6"/>
      <c r="L665" s="6"/>
      <c r="AZ665" s="4"/>
    </row>
    <row r="666" ht="15.75" customHeight="1">
      <c r="A666" s="4"/>
      <c r="B666" s="4"/>
      <c r="D666" s="2"/>
      <c r="F666" s="2"/>
      <c r="G666" s="6"/>
      <c r="H666" s="6"/>
      <c r="I666" s="2"/>
      <c r="K666" s="6"/>
      <c r="L666" s="6"/>
      <c r="AZ666" s="4"/>
    </row>
    <row r="667" ht="15.75" customHeight="1">
      <c r="A667" s="4"/>
      <c r="B667" s="4"/>
      <c r="D667" s="2"/>
      <c r="F667" s="2"/>
      <c r="G667" s="6"/>
      <c r="H667" s="6"/>
      <c r="I667" s="2"/>
      <c r="K667" s="6"/>
      <c r="L667" s="6"/>
      <c r="AZ667" s="4"/>
    </row>
    <row r="668" ht="15.75" customHeight="1">
      <c r="A668" s="4"/>
      <c r="B668" s="4"/>
      <c r="D668" s="2"/>
      <c r="F668" s="2"/>
      <c r="G668" s="6"/>
      <c r="H668" s="6"/>
      <c r="I668" s="2"/>
      <c r="K668" s="6"/>
      <c r="L668" s="6"/>
      <c r="AZ668" s="4"/>
    </row>
    <row r="669" ht="15.75" customHeight="1">
      <c r="A669" s="4"/>
      <c r="B669" s="4"/>
      <c r="D669" s="2"/>
      <c r="F669" s="2"/>
      <c r="G669" s="6"/>
      <c r="H669" s="6"/>
      <c r="I669" s="2"/>
      <c r="K669" s="6"/>
      <c r="L669" s="6"/>
      <c r="AZ669" s="4"/>
    </row>
    <row r="670" ht="15.75" customHeight="1">
      <c r="A670" s="4"/>
      <c r="B670" s="4"/>
      <c r="D670" s="2"/>
      <c r="F670" s="2"/>
      <c r="G670" s="6"/>
      <c r="H670" s="6"/>
      <c r="I670" s="2"/>
      <c r="K670" s="6"/>
      <c r="L670" s="6"/>
      <c r="AZ670" s="4"/>
    </row>
    <row r="671" ht="15.75" customHeight="1">
      <c r="A671" s="4"/>
      <c r="B671" s="4"/>
      <c r="D671" s="2"/>
      <c r="F671" s="2"/>
      <c r="G671" s="6"/>
      <c r="H671" s="6"/>
      <c r="I671" s="2"/>
      <c r="K671" s="6"/>
      <c r="L671" s="6"/>
      <c r="AZ671" s="4"/>
    </row>
    <row r="672" ht="15.75" customHeight="1">
      <c r="A672" s="4"/>
      <c r="B672" s="4"/>
      <c r="D672" s="2"/>
      <c r="F672" s="2"/>
      <c r="G672" s="6"/>
      <c r="H672" s="6"/>
      <c r="I672" s="2"/>
      <c r="K672" s="6"/>
      <c r="L672" s="6"/>
      <c r="AZ672" s="4"/>
    </row>
    <row r="673" ht="15.75" customHeight="1">
      <c r="A673" s="4"/>
      <c r="B673" s="4"/>
      <c r="D673" s="2"/>
      <c r="F673" s="2"/>
      <c r="G673" s="6"/>
      <c r="H673" s="6"/>
      <c r="I673" s="2"/>
      <c r="K673" s="6"/>
      <c r="L673" s="6"/>
      <c r="AZ673" s="4"/>
    </row>
    <row r="674" ht="15.75" customHeight="1">
      <c r="A674" s="4"/>
      <c r="B674" s="4"/>
      <c r="D674" s="2"/>
      <c r="F674" s="2"/>
      <c r="G674" s="6"/>
      <c r="H674" s="6"/>
      <c r="I674" s="2"/>
      <c r="K674" s="6"/>
      <c r="L674" s="6"/>
      <c r="AZ674" s="4"/>
    </row>
    <row r="675" ht="15.75" customHeight="1">
      <c r="A675" s="4"/>
      <c r="B675" s="4"/>
      <c r="D675" s="2"/>
      <c r="F675" s="2"/>
      <c r="G675" s="6"/>
      <c r="H675" s="6"/>
      <c r="I675" s="2"/>
      <c r="K675" s="6"/>
      <c r="L675" s="6"/>
      <c r="AZ675" s="4"/>
    </row>
    <row r="676" ht="15.75" customHeight="1">
      <c r="A676" s="4"/>
      <c r="B676" s="4"/>
      <c r="D676" s="2"/>
      <c r="F676" s="2"/>
      <c r="G676" s="6"/>
      <c r="H676" s="6"/>
      <c r="I676" s="2"/>
      <c r="K676" s="6"/>
      <c r="L676" s="6"/>
      <c r="AZ676" s="4"/>
    </row>
    <row r="677" ht="15.75" customHeight="1">
      <c r="A677" s="4"/>
      <c r="B677" s="4"/>
      <c r="D677" s="2"/>
      <c r="F677" s="2"/>
      <c r="G677" s="6"/>
      <c r="H677" s="6"/>
      <c r="I677" s="2"/>
      <c r="K677" s="6"/>
      <c r="L677" s="6"/>
      <c r="AZ677" s="4"/>
    </row>
    <row r="678" ht="15.75" customHeight="1">
      <c r="A678" s="4"/>
      <c r="B678" s="4"/>
      <c r="D678" s="2"/>
      <c r="F678" s="2"/>
      <c r="G678" s="6"/>
      <c r="H678" s="6"/>
      <c r="I678" s="2"/>
      <c r="K678" s="6"/>
      <c r="L678" s="6"/>
      <c r="AZ678" s="4"/>
    </row>
    <row r="679" ht="15.75" customHeight="1">
      <c r="A679" s="4"/>
      <c r="B679" s="4"/>
      <c r="D679" s="2"/>
      <c r="F679" s="2"/>
      <c r="G679" s="6"/>
      <c r="H679" s="6"/>
      <c r="I679" s="2"/>
      <c r="K679" s="6"/>
      <c r="L679" s="6"/>
      <c r="AZ679" s="4"/>
    </row>
    <row r="680" ht="15.75" customHeight="1">
      <c r="A680" s="4"/>
      <c r="B680" s="4"/>
      <c r="D680" s="2"/>
      <c r="F680" s="2"/>
      <c r="G680" s="6"/>
      <c r="H680" s="6"/>
      <c r="I680" s="2"/>
      <c r="K680" s="6"/>
      <c r="L680" s="6"/>
      <c r="AZ680" s="4"/>
    </row>
    <row r="681" ht="15.75" customHeight="1">
      <c r="A681" s="4"/>
      <c r="B681" s="4"/>
      <c r="D681" s="2"/>
      <c r="F681" s="2"/>
      <c r="G681" s="6"/>
      <c r="H681" s="6"/>
      <c r="I681" s="2"/>
      <c r="K681" s="6"/>
      <c r="L681" s="6"/>
      <c r="AZ681" s="4"/>
    </row>
    <row r="682" ht="15.75" customHeight="1">
      <c r="A682" s="4"/>
      <c r="B682" s="4"/>
      <c r="D682" s="2"/>
      <c r="F682" s="2"/>
      <c r="G682" s="6"/>
      <c r="H682" s="6"/>
      <c r="I682" s="2"/>
      <c r="K682" s="6"/>
      <c r="L682" s="6"/>
      <c r="AZ682" s="4"/>
    </row>
    <row r="683" ht="15.75" customHeight="1">
      <c r="A683" s="4"/>
      <c r="B683" s="4"/>
      <c r="D683" s="2"/>
      <c r="F683" s="2"/>
      <c r="G683" s="6"/>
      <c r="H683" s="6"/>
      <c r="I683" s="2"/>
      <c r="K683" s="6"/>
      <c r="L683" s="6"/>
      <c r="AZ683" s="4"/>
    </row>
    <row r="684" ht="15.75" customHeight="1">
      <c r="A684" s="4"/>
      <c r="B684" s="4"/>
      <c r="D684" s="2"/>
      <c r="F684" s="2"/>
      <c r="G684" s="6"/>
      <c r="H684" s="6"/>
      <c r="I684" s="2"/>
      <c r="K684" s="6"/>
      <c r="L684" s="6"/>
      <c r="AZ684" s="4"/>
    </row>
    <row r="685" ht="15.75" customHeight="1">
      <c r="A685" s="4"/>
      <c r="B685" s="4"/>
      <c r="D685" s="2"/>
      <c r="F685" s="2"/>
      <c r="G685" s="6"/>
      <c r="H685" s="6"/>
      <c r="I685" s="2"/>
      <c r="K685" s="6"/>
      <c r="L685" s="6"/>
      <c r="AZ685" s="4"/>
    </row>
    <row r="686" ht="15.75" customHeight="1">
      <c r="A686" s="4"/>
      <c r="B686" s="4"/>
      <c r="D686" s="2"/>
      <c r="F686" s="2"/>
      <c r="G686" s="6"/>
      <c r="H686" s="6"/>
      <c r="I686" s="2"/>
      <c r="K686" s="6"/>
      <c r="L686" s="6"/>
      <c r="AZ686" s="4"/>
    </row>
    <row r="687" ht="15.75" customHeight="1">
      <c r="A687" s="4"/>
      <c r="B687" s="4"/>
      <c r="D687" s="2"/>
      <c r="F687" s="2"/>
      <c r="G687" s="6"/>
      <c r="H687" s="6"/>
      <c r="I687" s="2"/>
      <c r="K687" s="6"/>
      <c r="L687" s="6"/>
      <c r="AZ687" s="4"/>
    </row>
    <row r="688" ht="15.75" customHeight="1">
      <c r="A688" s="4"/>
      <c r="B688" s="4"/>
      <c r="D688" s="2"/>
      <c r="F688" s="2"/>
      <c r="G688" s="6"/>
      <c r="H688" s="6"/>
      <c r="I688" s="2"/>
      <c r="K688" s="6"/>
      <c r="L688" s="6"/>
      <c r="AZ688" s="4"/>
    </row>
    <row r="689" ht="15.75" customHeight="1">
      <c r="A689" s="4"/>
      <c r="B689" s="4"/>
      <c r="D689" s="2"/>
      <c r="F689" s="2"/>
      <c r="G689" s="6"/>
      <c r="H689" s="6"/>
      <c r="I689" s="2"/>
      <c r="K689" s="6"/>
      <c r="L689" s="6"/>
      <c r="AZ689" s="4"/>
    </row>
    <row r="690" ht="15.75" customHeight="1">
      <c r="A690" s="4"/>
      <c r="B690" s="4"/>
      <c r="D690" s="2"/>
      <c r="F690" s="2"/>
      <c r="G690" s="6"/>
      <c r="H690" s="6"/>
      <c r="I690" s="2"/>
      <c r="K690" s="6"/>
      <c r="L690" s="6"/>
      <c r="AZ690" s="4"/>
    </row>
    <row r="691" ht="15.75" customHeight="1">
      <c r="A691" s="4"/>
      <c r="B691" s="4"/>
      <c r="D691" s="2"/>
      <c r="F691" s="2"/>
      <c r="G691" s="6"/>
      <c r="H691" s="6"/>
      <c r="I691" s="2"/>
      <c r="K691" s="6"/>
      <c r="L691" s="6"/>
      <c r="AZ691" s="4"/>
    </row>
    <row r="692" ht="15.75" customHeight="1">
      <c r="A692" s="4"/>
      <c r="B692" s="4"/>
      <c r="D692" s="2"/>
      <c r="F692" s="2"/>
      <c r="G692" s="6"/>
      <c r="H692" s="6"/>
      <c r="I692" s="2"/>
      <c r="K692" s="6"/>
      <c r="L692" s="6"/>
      <c r="AZ692" s="4"/>
    </row>
    <row r="693" ht="15.75" customHeight="1">
      <c r="A693" s="4"/>
      <c r="B693" s="4"/>
      <c r="D693" s="2"/>
      <c r="F693" s="2"/>
      <c r="G693" s="6"/>
      <c r="H693" s="6"/>
      <c r="I693" s="2"/>
      <c r="K693" s="6"/>
      <c r="L693" s="6"/>
      <c r="AZ693" s="4"/>
    </row>
    <row r="694" ht="15.75" customHeight="1">
      <c r="A694" s="4"/>
      <c r="B694" s="4"/>
      <c r="D694" s="2"/>
      <c r="F694" s="2"/>
      <c r="G694" s="6"/>
      <c r="H694" s="6"/>
      <c r="I694" s="2"/>
      <c r="K694" s="6"/>
      <c r="L694" s="6"/>
      <c r="AZ694" s="4"/>
    </row>
    <row r="695" ht="15.75" customHeight="1">
      <c r="A695" s="4"/>
      <c r="B695" s="4"/>
      <c r="D695" s="2"/>
      <c r="F695" s="2"/>
      <c r="G695" s="6"/>
      <c r="H695" s="6"/>
      <c r="I695" s="2"/>
      <c r="K695" s="6"/>
      <c r="L695" s="6"/>
      <c r="AZ695" s="4"/>
    </row>
    <row r="696" ht="15.75" customHeight="1">
      <c r="A696" s="4"/>
      <c r="B696" s="4"/>
      <c r="D696" s="2"/>
      <c r="F696" s="2"/>
      <c r="G696" s="6"/>
      <c r="H696" s="6"/>
      <c r="I696" s="2"/>
      <c r="K696" s="6"/>
      <c r="L696" s="6"/>
      <c r="AZ696" s="4"/>
    </row>
    <row r="697" ht="15.75" customHeight="1">
      <c r="A697" s="4"/>
      <c r="B697" s="4"/>
      <c r="D697" s="2"/>
      <c r="F697" s="2"/>
      <c r="G697" s="6"/>
      <c r="H697" s="6"/>
      <c r="I697" s="2"/>
      <c r="K697" s="6"/>
      <c r="L697" s="6"/>
      <c r="AZ697" s="4"/>
    </row>
    <row r="698" ht="15.75" customHeight="1">
      <c r="A698" s="4"/>
      <c r="B698" s="4"/>
      <c r="D698" s="2"/>
      <c r="F698" s="2"/>
      <c r="G698" s="6"/>
      <c r="H698" s="6"/>
      <c r="I698" s="2"/>
      <c r="K698" s="6"/>
      <c r="L698" s="6"/>
      <c r="AZ698" s="4"/>
    </row>
    <row r="699" ht="15.75" customHeight="1">
      <c r="A699" s="4"/>
      <c r="B699" s="4"/>
      <c r="D699" s="2"/>
      <c r="F699" s="2"/>
      <c r="G699" s="6"/>
      <c r="H699" s="6"/>
      <c r="I699" s="2"/>
      <c r="K699" s="6"/>
      <c r="L699" s="6"/>
      <c r="AZ699" s="4"/>
    </row>
    <row r="700" ht="15.75" customHeight="1">
      <c r="A700" s="4"/>
      <c r="B700" s="4"/>
      <c r="D700" s="2"/>
      <c r="F700" s="2"/>
      <c r="G700" s="6"/>
      <c r="H700" s="6"/>
      <c r="I700" s="2"/>
      <c r="K700" s="6"/>
      <c r="L700" s="6"/>
      <c r="AZ700" s="4"/>
    </row>
    <row r="701" ht="15.75" customHeight="1">
      <c r="A701" s="4"/>
      <c r="B701" s="4"/>
      <c r="D701" s="2"/>
      <c r="F701" s="2"/>
      <c r="G701" s="6"/>
      <c r="H701" s="6"/>
      <c r="I701" s="2"/>
      <c r="K701" s="6"/>
      <c r="L701" s="6"/>
      <c r="AZ701" s="4"/>
    </row>
    <row r="702" ht="15.75" customHeight="1">
      <c r="A702" s="4"/>
      <c r="B702" s="4"/>
      <c r="D702" s="2"/>
      <c r="F702" s="2"/>
      <c r="G702" s="6"/>
      <c r="H702" s="6"/>
      <c r="I702" s="2"/>
      <c r="K702" s="6"/>
      <c r="L702" s="6"/>
      <c r="AZ702" s="4"/>
    </row>
    <row r="703" ht="15.75" customHeight="1">
      <c r="A703" s="4"/>
      <c r="B703" s="4"/>
      <c r="D703" s="2"/>
      <c r="F703" s="2"/>
      <c r="G703" s="6"/>
      <c r="H703" s="6"/>
      <c r="I703" s="2"/>
      <c r="K703" s="6"/>
      <c r="L703" s="6"/>
      <c r="AZ703" s="4"/>
    </row>
    <row r="704" ht="15.75" customHeight="1">
      <c r="A704" s="4"/>
      <c r="B704" s="4"/>
      <c r="D704" s="2"/>
      <c r="F704" s="2"/>
      <c r="G704" s="6"/>
      <c r="H704" s="6"/>
      <c r="I704" s="2"/>
      <c r="K704" s="6"/>
      <c r="L704" s="6"/>
      <c r="AZ704" s="4"/>
    </row>
    <row r="705" ht="15.75" customHeight="1">
      <c r="A705" s="4"/>
      <c r="B705" s="4"/>
      <c r="D705" s="2"/>
      <c r="F705" s="2"/>
      <c r="G705" s="6"/>
      <c r="H705" s="6"/>
      <c r="I705" s="2"/>
      <c r="K705" s="6"/>
      <c r="L705" s="6"/>
      <c r="AZ705" s="4"/>
    </row>
    <row r="706" ht="15.75" customHeight="1">
      <c r="A706" s="4"/>
      <c r="B706" s="4"/>
      <c r="D706" s="2"/>
      <c r="F706" s="2"/>
      <c r="G706" s="6"/>
      <c r="H706" s="6"/>
      <c r="I706" s="2"/>
      <c r="K706" s="6"/>
      <c r="L706" s="6"/>
      <c r="AZ706" s="4"/>
    </row>
    <row r="707" ht="15.75" customHeight="1">
      <c r="A707" s="4"/>
      <c r="B707" s="4"/>
      <c r="D707" s="2"/>
      <c r="F707" s="2"/>
      <c r="G707" s="6"/>
      <c r="H707" s="6"/>
      <c r="I707" s="2"/>
      <c r="K707" s="6"/>
      <c r="L707" s="6"/>
      <c r="AZ707" s="4"/>
    </row>
    <row r="708" ht="15.75" customHeight="1">
      <c r="A708" s="4"/>
      <c r="B708" s="4"/>
      <c r="D708" s="2"/>
      <c r="F708" s="2"/>
      <c r="G708" s="6"/>
      <c r="H708" s="6"/>
      <c r="I708" s="2"/>
      <c r="K708" s="6"/>
      <c r="L708" s="6"/>
      <c r="AZ708" s="4"/>
    </row>
    <row r="709" ht="15.75" customHeight="1">
      <c r="A709" s="4"/>
      <c r="B709" s="4"/>
      <c r="D709" s="2"/>
      <c r="F709" s="2"/>
      <c r="G709" s="6"/>
      <c r="H709" s="6"/>
      <c r="I709" s="2"/>
      <c r="K709" s="6"/>
      <c r="L709" s="6"/>
      <c r="AZ709" s="4"/>
    </row>
    <row r="710" ht="15.75" customHeight="1">
      <c r="A710" s="4"/>
      <c r="B710" s="4"/>
      <c r="D710" s="2"/>
      <c r="F710" s="2"/>
      <c r="G710" s="6"/>
      <c r="H710" s="6"/>
      <c r="I710" s="2"/>
      <c r="K710" s="6"/>
      <c r="L710" s="6"/>
      <c r="AZ710" s="4"/>
    </row>
    <row r="711" ht="15.75" customHeight="1">
      <c r="A711" s="4"/>
      <c r="B711" s="4"/>
      <c r="D711" s="2"/>
      <c r="F711" s="2"/>
      <c r="G711" s="6"/>
      <c r="H711" s="6"/>
      <c r="I711" s="2"/>
      <c r="K711" s="6"/>
      <c r="L711" s="6"/>
      <c r="AZ711" s="4"/>
    </row>
    <row r="712" ht="15.75" customHeight="1">
      <c r="A712" s="4"/>
      <c r="B712" s="4"/>
      <c r="D712" s="2"/>
      <c r="F712" s="2"/>
      <c r="G712" s="6"/>
      <c r="H712" s="6"/>
      <c r="I712" s="2"/>
      <c r="K712" s="6"/>
      <c r="L712" s="6"/>
      <c r="AZ712" s="4"/>
    </row>
    <row r="713" ht="15.75" customHeight="1">
      <c r="A713" s="4"/>
      <c r="B713" s="4"/>
      <c r="D713" s="2"/>
      <c r="F713" s="2"/>
      <c r="G713" s="6"/>
      <c r="H713" s="6"/>
      <c r="I713" s="2"/>
      <c r="K713" s="6"/>
      <c r="L713" s="6"/>
      <c r="AZ713" s="4"/>
    </row>
    <row r="714" ht="15.75" customHeight="1">
      <c r="A714" s="4"/>
      <c r="B714" s="4"/>
      <c r="D714" s="2"/>
      <c r="F714" s="2"/>
      <c r="G714" s="6"/>
      <c r="H714" s="6"/>
      <c r="I714" s="2"/>
      <c r="K714" s="6"/>
      <c r="L714" s="6"/>
      <c r="AZ714" s="4"/>
    </row>
    <row r="715" ht="15.75" customHeight="1">
      <c r="A715" s="4"/>
      <c r="B715" s="4"/>
      <c r="D715" s="2"/>
      <c r="F715" s="2"/>
      <c r="G715" s="6"/>
      <c r="H715" s="6"/>
      <c r="I715" s="2"/>
      <c r="K715" s="6"/>
      <c r="L715" s="6"/>
      <c r="AZ715" s="4"/>
    </row>
    <row r="716" ht="15.75" customHeight="1">
      <c r="A716" s="4"/>
      <c r="B716" s="4"/>
      <c r="D716" s="2"/>
      <c r="F716" s="2"/>
      <c r="G716" s="6"/>
      <c r="H716" s="6"/>
      <c r="I716" s="2"/>
      <c r="K716" s="6"/>
      <c r="L716" s="6"/>
      <c r="AZ716" s="4"/>
    </row>
    <row r="717" ht="15.75" customHeight="1">
      <c r="A717" s="4"/>
      <c r="B717" s="4"/>
      <c r="D717" s="2"/>
      <c r="F717" s="2"/>
      <c r="G717" s="6"/>
      <c r="H717" s="6"/>
      <c r="I717" s="2"/>
      <c r="K717" s="6"/>
      <c r="L717" s="6"/>
      <c r="AZ717" s="4"/>
    </row>
    <row r="718" ht="15.75" customHeight="1">
      <c r="A718" s="4"/>
      <c r="B718" s="4"/>
      <c r="D718" s="2"/>
      <c r="F718" s="2"/>
      <c r="G718" s="6"/>
      <c r="H718" s="6"/>
      <c r="I718" s="2"/>
      <c r="K718" s="6"/>
      <c r="L718" s="6"/>
      <c r="AZ718" s="4"/>
    </row>
    <row r="719" ht="15.75" customHeight="1">
      <c r="A719" s="4"/>
      <c r="B719" s="4"/>
      <c r="D719" s="2"/>
      <c r="F719" s="2"/>
      <c r="G719" s="6"/>
      <c r="H719" s="6"/>
      <c r="I719" s="2"/>
      <c r="K719" s="6"/>
      <c r="L719" s="6"/>
      <c r="AZ719" s="4"/>
    </row>
    <row r="720" ht="15.75" customHeight="1">
      <c r="A720" s="4"/>
      <c r="B720" s="4"/>
      <c r="D720" s="2"/>
      <c r="F720" s="2"/>
      <c r="G720" s="6"/>
      <c r="H720" s="6"/>
      <c r="I720" s="2"/>
      <c r="K720" s="6"/>
      <c r="L720" s="6"/>
      <c r="AZ720" s="4"/>
    </row>
    <row r="721" ht="15.75" customHeight="1">
      <c r="A721" s="4"/>
      <c r="B721" s="4"/>
      <c r="D721" s="2"/>
      <c r="F721" s="2"/>
      <c r="G721" s="6"/>
      <c r="H721" s="6"/>
      <c r="I721" s="2"/>
      <c r="K721" s="6"/>
      <c r="L721" s="6"/>
      <c r="AZ721" s="4"/>
    </row>
    <row r="722" ht="15.75" customHeight="1">
      <c r="A722" s="4"/>
      <c r="B722" s="4"/>
      <c r="D722" s="2"/>
      <c r="F722" s="2"/>
      <c r="G722" s="6"/>
      <c r="H722" s="6"/>
      <c r="I722" s="2"/>
      <c r="K722" s="6"/>
      <c r="L722" s="6"/>
      <c r="AZ722" s="4"/>
    </row>
    <row r="723" ht="15.75" customHeight="1">
      <c r="A723" s="4"/>
      <c r="B723" s="4"/>
      <c r="D723" s="2"/>
      <c r="F723" s="2"/>
      <c r="G723" s="6"/>
      <c r="H723" s="6"/>
      <c r="I723" s="2"/>
      <c r="K723" s="6"/>
      <c r="L723" s="6"/>
      <c r="AZ723" s="4"/>
    </row>
    <row r="724" ht="15.75" customHeight="1">
      <c r="A724" s="4"/>
      <c r="B724" s="4"/>
      <c r="D724" s="2"/>
      <c r="F724" s="2"/>
      <c r="G724" s="6"/>
      <c r="H724" s="6"/>
      <c r="I724" s="2"/>
      <c r="K724" s="6"/>
      <c r="L724" s="6"/>
      <c r="AZ724" s="4"/>
    </row>
    <row r="725" ht="15.75" customHeight="1">
      <c r="A725" s="4"/>
      <c r="B725" s="4"/>
      <c r="D725" s="2"/>
      <c r="F725" s="2"/>
      <c r="G725" s="6"/>
      <c r="H725" s="6"/>
      <c r="I725" s="2"/>
      <c r="K725" s="6"/>
      <c r="L725" s="6"/>
      <c r="AZ725" s="4"/>
    </row>
    <row r="726" ht="15.75" customHeight="1">
      <c r="A726" s="4"/>
      <c r="B726" s="4"/>
      <c r="D726" s="2"/>
      <c r="F726" s="2"/>
      <c r="G726" s="6"/>
      <c r="H726" s="6"/>
      <c r="I726" s="2"/>
      <c r="K726" s="6"/>
      <c r="L726" s="6"/>
      <c r="AZ726" s="4"/>
    </row>
    <row r="727" ht="15.75" customHeight="1">
      <c r="A727" s="4"/>
      <c r="B727" s="4"/>
      <c r="D727" s="2"/>
      <c r="F727" s="2"/>
      <c r="G727" s="6"/>
      <c r="H727" s="6"/>
      <c r="I727" s="2"/>
      <c r="K727" s="6"/>
      <c r="L727" s="6"/>
      <c r="AZ727" s="4"/>
    </row>
    <row r="728" ht="15.75" customHeight="1">
      <c r="A728" s="4"/>
      <c r="B728" s="4"/>
      <c r="D728" s="2"/>
      <c r="F728" s="2"/>
      <c r="G728" s="6"/>
      <c r="H728" s="6"/>
      <c r="I728" s="2"/>
      <c r="K728" s="6"/>
      <c r="L728" s="6"/>
      <c r="AZ728" s="4"/>
    </row>
    <row r="729" ht="15.75" customHeight="1">
      <c r="A729" s="4"/>
      <c r="B729" s="4"/>
      <c r="D729" s="2"/>
      <c r="F729" s="2"/>
      <c r="G729" s="6"/>
      <c r="H729" s="6"/>
      <c r="I729" s="2"/>
      <c r="K729" s="6"/>
      <c r="L729" s="6"/>
      <c r="AZ729" s="4"/>
    </row>
    <row r="730" ht="15.75" customHeight="1">
      <c r="A730" s="4"/>
      <c r="B730" s="4"/>
      <c r="D730" s="2"/>
      <c r="F730" s="2"/>
      <c r="G730" s="6"/>
      <c r="H730" s="6"/>
      <c r="I730" s="2"/>
      <c r="K730" s="6"/>
      <c r="L730" s="6"/>
      <c r="AZ730" s="4"/>
    </row>
    <row r="731" ht="15.75" customHeight="1">
      <c r="A731" s="4"/>
      <c r="B731" s="4"/>
      <c r="D731" s="2"/>
      <c r="F731" s="2"/>
      <c r="G731" s="6"/>
      <c r="H731" s="6"/>
      <c r="I731" s="2"/>
      <c r="K731" s="6"/>
      <c r="L731" s="6"/>
      <c r="AZ731" s="4"/>
    </row>
    <row r="732" ht="15.75" customHeight="1">
      <c r="A732" s="4"/>
      <c r="B732" s="4"/>
      <c r="D732" s="2"/>
      <c r="F732" s="2"/>
      <c r="G732" s="6"/>
      <c r="H732" s="6"/>
      <c r="I732" s="2"/>
      <c r="K732" s="6"/>
      <c r="L732" s="6"/>
      <c r="AZ732" s="4"/>
    </row>
    <row r="733" ht="15.75" customHeight="1">
      <c r="A733" s="4"/>
      <c r="B733" s="4"/>
      <c r="D733" s="2"/>
      <c r="F733" s="2"/>
      <c r="G733" s="6"/>
      <c r="H733" s="6"/>
      <c r="I733" s="2"/>
      <c r="K733" s="6"/>
      <c r="L733" s="6"/>
      <c r="AZ733" s="4"/>
    </row>
    <row r="734" ht="15.75" customHeight="1">
      <c r="A734" s="4"/>
      <c r="B734" s="4"/>
      <c r="D734" s="2"/>
      <c r="F734" s="2"/>
      <c r="G734" s="6"/>
      <c r="H734" s="6"/>
      <c r="I734" s="2"/>
      <c r="K734" s="6"/>
      <c r="L734" s="6"/>
      <c r="AZ734" s="4"/>
    </row>
    <row r="735" ht="15.75" customHeight="1">
      <c r="A735" s="4"/>
      <c r="B735" s="4"/>
      <c r="D735" s="2"/>
      <c r="F735" s="2"/>
      <c r="G735" s="6"/>
      <c r="H735" s="6"/>
      <c r="I735" s="2"/>
      <c r="K735" s="6"/>
      <c r="L735" s="6"/>
      <c r="AZ735" s="4"/>
    </row>
    <row r="736" ht="15.75" customHeight="1">
      <c r="A736" s="4"/>
      <c r="B736" s="4"/>
      <c r="D736" s="2"/>
      <c r="F736" s="2"/>
      <c r="G736" s="6"/>
      <c r="H736" s="6"/>
      <c r="I736" s="2"/>
      <c r="K736" s="6"/>
      <c r="L736" s="6"/>
      <c r="AZ736" s="4"/>
    </row>
    <row r="737" ht="15.75" customHeight="1">
      <c r="A737" s="4"/>
      <c r="B737" s="4"/>
      <c r="D737" s="2"/>
      <c r="F737" s="2"/>
      <c r="G737" s="6"/>
      <c r="H737" s="6"/>
      <c r="I737" s="2"/>
      <c r="K737" s="6"/>
      <c r="L737" s="6"/>
      <c r="AZ737" s="4"/>
    </row>
    <row r="738" ht="15.75" customHeight="1">
      <c r="A738" s="4"/>
      <c r="B738" s="4"/>
      <c r="D738" s="2"/>
      <c r="F738" s="2"/>
      <c r="G738" s="6"/>
      <c r="H738" s="6"/>
      <c r="I738" s="2"/>
      <c r="K738" s="6"/>
      <c r="L738" s="6"/>
      <c r="AZ738" s="4"/>
    </row>
    <row r="739" ht="15.75" customHeight="1">
      <c r="A739" s="4"/>
      <c r="B739" s="4"/>
      <c r="D739" s="2"/>
      <c r="F739" s="2"/>
      <c r="G739" s="6"/>
      <c r="H739" s="6"/>
      <c r="I739" s="2"/>
      <c r="K739" s="6"/>
      <c r="L739" s="6"/>
      <c r="AZ739" s="4"/>
    </row>
    <row r="740" ht="15.75" customHeight="1">
      <c r="A740" s="4"/>
      <c r="B740" s="4"/>
      <c r="D740" s="2"/>
      <c r="F740" s="2"/>
      <c r="G740" s="6"/>
      <c r="H740" s="6"/>
      <c r="I740" s="2"/>
      <c r="K740" s="6"/>
      <c r="L740" s="6"/>
      <c r="AZ740" s="4"/>
    </row>
    <row r="741" ht="15.75" customHeight="1">
      <c r="A741" s="4"/>
      <c r="B741" s="4"/>
      <c r="D741" s="2"/>
      <c r="F741" s="2"/>
      <c r="G741" s="6"/>
      <c r="H741" s="6"/>
      <c r="I741" s="2"/>
      <c r="K741" s="6"/>
      <c r="L741" s="6"/>
      <c r="AZ741" s="4"/>
    </row>
    <row r="742" ht="15.75" customHeight="1">
      <c r="A742" s="4"/>
      <c r="B742" s="4"/>
      <c r="D742" s="2"/>
      <c r="F742" s="2"/>
      <c r="G742" s="6"/>
      <c r="H742" s="6"/>
      <c r="I742" s="2"/>
      <c r="K742" s="6"/>
      <c r="L742" s="6"/>
      <c r="AZ742" s="4"/>
    </row>
    <row r="743" ht="15.75" customHeight="1">
      <c r="A743" s="4"/>
      <c r="B743" s="4"/>
      <c r="D743" s="2"/>
      <c r="F743" s="2"/>
      <c r="G743" s="6"/>
      <c r="H743" s="6"/>
      <c r="I743" s="2"/>
      <c r="K743" s="6"/>
      <c r="L743" s="6"/>
      <c r="AZ743" s="4"/>
    </row>
    <row r="744" ht="15.75" customHeight="1">
      <c r="A744" s="4"/>
      <c r="B744" s="4"/>
      <c r="D744" s="2"/>
      <c r="F744" s="2"/>
      <c r="G744" s="6"/>
      <c r="H744" s="6"/>
      <c r="I744" s="2"/>
      <c r="K744" s="6"/>
      <c r="L744" s="6"/>
      <c r="AZ744" s="4"/>
    </row>
    <row r="745" ht="15.75" customHeight="1">
      <c r="A745" s="4"/>
      <c r="B745" s="4"/>
      <c r="D745" s="2"/>
      <c r="F745" s="2"/>
      <c r="G745" s="6"/>
      <c r="H745" s="6"/>
      <c r="I745" s="2"/>
      <c r="K745" s="6"/>
      <c r="L745" s="6"/>
      <c r="AZ745" s="4"/>
    </row>
    <row r="746" ht="15.75" customHeight="1">
      <c r="A746" s="4"/>
      <c r="B746" s="4"/>
      <c r="D746" s="2"/>
      <c r="F746" s="2"/>
      <c r="G746" s="6"/>
      <c r="H746" s="6"/>
      <c r="I746" s="2"/>
      <c r="K746" s="6"/>
      <c r="L746" s="6"/>
      <c r="AZ746" s="4"/>
    </row>
    <row r="747" ht="15.75" customHeight="1">
      <c r="A747" s="4"/>
      <c r="B747" s="4"/>
      <c r="D747" s="2"/>
      <c r="F747" s="2"/>
      <c r="G747" s="6"/>
      <c r="H747" s="6"/>
      <c r="I747" s="2"/>
      <c r="K747" s="6"/>
      <c r="L747" s="6"/>
      <c r="AZ747" s="4"/>
    </row>
    <row r="748" ht="15.75" customHeight="1">
      <c r="A748" s="4"/>
      <c r="B748" s="4"/>
      <c r="D748" s="2"/>
      <c r="F748" s="2"/>
      <c r="G748" s="6"/>
      <c r="H748" s="6"/>
      <c r="I748" s="2"/>
      <c r="K748" s="6"/>
      <c r="L748" s="6"/>
      <c r="AZ748" s="4"/>
    </row>
    <row r="749" ht="15.75" customHeight="1">
      <c r="A749" s="4"/>
      <c r="B749" s="4"/>
      <c r="D749" s="2"/>
      <c r="F749" s="2"/>
      <c r="G749" s="6"/>
      <c r="H749" s="6"/>
      <c r="I749" s="2"/>
      <c r="K749" s="6"/>
      <c r="L749" s="6"/>
      <c r="AZ749" s="4"/>
    </row>
    <row r="750" ht="15.75" customHeight="1">
      <c r="A750" s="4"/>
      <c r="B750" s="4"/>
      <c r="D750" s="2"/>
      <c r="F750" s="2"/>
      <c r="G750" s="6"/>
      <c r="H750" s="6"/>
      <c r="I750" s="2"/>
      <c r="K750" s="6"/>
      <c r="L750" s="6"/>
      <c r="AZ750" s="4"/>
    </row>
    <row r="751" ht="15.75" customHeight="1">
      <c r="A751" s="4"/>
      <c r="B751" s="4"/>
      <c r="D751" s="2"/>
      <c r="F751" s="2"/>
      <c r="G751" s="6"/>
      <c r="H751" s="6"/>
      <c r="I751" s="2"/>
      <c r="K751" s="6"/>
      <c r="L751" s="6"/>
      <c r="AZ751" s="4"/>
    </row>
    <row r="752" ht="15.75" customHeight="1">
      <c r="A752" s="4"/>
      <c r="B752" s="4"/>
      <c r="D752" s="2"/>
      <c r="F752" s="2"/>
      <c r="G752" s="6"/>
      <c r="H752" s="6"/>
      <c r="I752" s="2"/>
      <c r="K752" s="6"/>
      <c r="L752" s="6"/>
      <c r="AZ752" s="4"/>
    </row>
    <row r="753" ht="15.75" customHeight="1">
      <c r="A753" s="4"/>
      <c r="B753" s="4"/>
      <c r="D753" s="2"/>
      <c r="F753" s="2"/>
      <c r="G753" s="6"/>
      <c r="H753" s="6"/>
      <c r="I753" s="2"/>
      <c r="K753" s="6"/>
      <c r="L753" s="6"/>
      <c r="AZ753" s="4"/>
    </row>
    <row r="754" ht="15.75" customHeight="1">
      <c r="A754" s="4"/>
      <c r="B754" s="4"/>
      <c r="D754" s="2"/>
      <c r="F754" s="2"/>
      <c r="G754" s="6"/>
      <c r="H754" s="6"/>
      <c r="I754" s="2"/>
      <c r="K754" s="6"/>
      <c r="L754" s="6"/>
      <c r="AZ754" s="4"/>
    </row>
    <row r="755" ht="15.75" customHeight="1">
      <c r="A755" s="4"/>
      <c r="B755" s="4"/>
      <c r="D755" s="2"/>
      <c r="F755" s="2"/>
      <c r="G755" s="6"/>
      <c r="H755" s="6"/>
      <c r="I755" s="2"/>
      <c r="K755" s="6"/>
      <c r="L755" s="6"/>
      <c r="AZ755" s="4"/>
    </row>
    <row r="756" ht="15.75" customHeight="1">
      <c r="A756" s="4"/>
      <c r="B756" s="4"/>
      <c r="D756" s="2"/>
      <c r="F756" s="2"/>
      <c r="G756" s="6"/>
      <c r="H756" s="6"/>
      <c r="I756" s="2"/>
      <c r="K756" s="6"/>
      <c r="L756" s="6"/>
      <c r="AZ756" s="4"/>
    </row>
    <row r="757" ht="15.75" customHeight="1">
      <c r="A757" s="4"/>
      <c r="B757" s="4"/>
      <c r="D757" s="2"/>
      <c r="F757" s="2"/>
      <c r="G757" s="6"/>
      <c r="H757" s="6"/>
      <c r="I757" s="2"/>
      <c r="K757" s="6"/>
      <c r="L757" s="6"/>
      <c r="AZ757" s="4"/>
    </row>
    <row r="758" ht="15.75" customHeight="1">
      <c r="A758" s="4"/>
      <c r="B758" s="4"/>
      <c r="D758" s="2"/>
      <c r="F758" s="2"/>
      <c r="G758" s="6"/>
      <c r="H758" s="6"/>
      <c r="I758" s="2"/>
      <c r="K758" s="6"/>
      <c r="L758" s="6"/>
      <c r="AZ758" s="4"/>
    </row>
    <row r="759" ht="15.75" customHeight="1">
      <c r="A759" s="4"/>
      <c r="B759" s="4"/>
      <c r="D759" s="2"/>
      <c r="F759" s="2"/>
      <c r="G759" s="6"/>
      <c r="H759" s="6"/>
      <c r="I759" s="2"/>
      <c r="K759" s="6"/>
      <c r="L759" s="6"/>
      <c r="AZ759" s="4"/>
    </row>
    <row r="760" ht="15.75" customHeight="1">
      <c r="A760" s="4"/>
      <c r="B760" s="4"/>
      <c r="D760" s="2"/>
      <c r="F760" s="2"/>
      <c r="G760" s="6"/>
      <c r="H760" s="6"/>
      <c r="I760" s="2"/>
      <c r="K760" s="6"/>
      <c r="L760" s="6"/>
      <c r="AZ760" s="4"/>
    </row>
    <row r="761" ht="15.75" customHeight="1">
      <c r="A761" s="4"/>
      <c r="B761" s="4"/>
      <c r="D761" s="2"/>
      <c r="F761" s="2"/>
      <c r="G761" s="6"/>
      <c r="H761" s="6"/>
      <c r="I761" s="2"/>
      <c r="K761" s="6"/>
      <c r="L761" s="6"/>
      <c r="AZ761" s="4"/>
    </row>
    <row r="762" ht="15.75" customHeight="1">
      <c r="A762" s="4"/>
      <c r="B762" s="4"/>
      <c r="D762" s="2"/>
      <c r="F762" s="2"/>
      <c r="G762" s="6"/>
      <c r="H762" s="6"/>
      <c r="I762" s="2"/>
      <c r="K762" s="6"/>
      <c r="L762" s="6"/>
      <c r="AZ762" s="4"/>
    </row>
    <row r="763" ht="15.75" customHeight="1">
      <c r="A763" s="4"/>
      <c r="B763" s="4"/>
      <c r="D763" s="2"/>
      <c r="F763" s="2"/>
      <c r="G763" s="6"/>
      <c r="H763" s="6"/>
      <c r="I763" s="2"/>
      <c r="K763" s="6"/>
      <c r="L763" s="6"/>
      <c r="AZ763" s="4"/>
    </row>
    <row r="764" ht="15.75" customHeight="1">
      <c r="A764" s="4"/>
      <c r="B764" s="4"/>
      <c r="D764" s="2"/>
      <c r="F764" s="2"/>
      <c r="G764" s="6"/>
      <c r="H764" s="6"/>
      <c r="I764" s="2"/>
      <c r="K764" s="6"/>
      <c r="L764" s="6"/>
      <c r="AZ764" s="4"/>
    </row>
    <row r="765" ht="15.75" customHeight="1">
      <c r="A765" s="4"/>
      <c r="B765" s="4"/>
      <c r="D765" s="2"/>
      <c r="F765" s="2"/>
      <c r="G765" s="6"/>
      <c r="H765" s="6"/>
      <c r="I765" s="2"/>
      <c r="K765" s="6"/>
      <c r="L765" s="6"/>
      <c r="AZ765" s="4"/>
    </row>
    <row r="766" ht="15.75" customHeight="1">
      <c r="A766" s="4"/>
      <c r="B766" s="4"/>
      <c r="D766" s="2"/>
      <c r="F766" s="2"/>
      <c r="G766" s="6"/>
      <c r="H766" s="6"/>
      <c r="I766" s="2"/>
      <c r="K766" s="6"/>
      <c r="L766" s="6"/>
      <c r="AZ766" s="4"/>
    </row>
    <row r="767" ht="15.75" customHeight="1">
      <c r="A767" s="4"/>
      <c r="B767" s="4"/>
      <c r="D767" s="2"/>
      <c r="F767" s="2"/>
      <c r="G767" s="6"/>
      <c r="H767" s="6"/>
      <c r="I767" s="2"/>
      <c r="K767" s="6"/>
      <c r="L767" s="6"/>
      <c r="AZ767" s="4"/>
    </row>
    <row r="768" ht="15.75" customHeight="1">
      <c r="A768" s="4"/>
      <c r="B768" s="4"/>
      <c r="D768" s="2"/>
      <c r="F768" s="2"/>
      <c r="G768" s="6"/>
      <c r="H768" s="6"/>
      <c r="I768" s="2"/>
      <c r="K768" s="6"/>
      <c r="L768" s="6"/>
      <c r="AZ768" s="4"/>
    </row>
    <row r="769" ht="15.75" customHeight="1">
      <c r="A769" s="4"/>
      <c r="B769" s="4"/>
      <c r="D769" s="2"/>
      <c r="F769" s="2"/>
      <c r="G769" s="6"/>
      <c r="H769" s="6"/>
      <c r="I769" s="2"/>
      <c r="K769" s="6"/>
      <c r="L769" s="6"/>
      <c r="AZ769" s="4"/>
    </row>
    <row r="770" ht="15.75" customHeight="1">
      <c r="A770" s="4"/>
      <c r="B770" s="4"/>
      <c r="D770" s="2"/>
      <c r="F770" s="2"/>
      <c r="G770" s="6"/>
      <c r="H770" s="6"/>
      <c r="I770" s="2"/>
      <c r="K770" s="6"/>
      <c r="L770" s="6"/>
      <c r="AZ770" s="4"/>
    </row>
    <row r="771" ht="15.75" customHeight="1">
      <c r="A771" s="4"/>
      <c r="B771" s="4"/>
      <c r="D771" s="2"/>
      <c r="F771" s="2"/>
      <c r="G771" s="6"/>
      <c r="H771" s="6"/>
      <c r="I771" s="2"/>
      <c r="K771" s="6"/>
      <c r="L771" s="6"/>
      <c r="AZ771" s="4"/>
    </row>
    <row r="772" ht="15.75" customHeight="1">
      <c r="A772" s="4"/>
      <c r="B772" s="4"/>
      <c r="D772" s="2"/>
      <c r="F772" s="2"/>
      <c r="G772" s="6"/>
      <c r="H772" s="6"/>
      <c r="I772" s="2"/>
      <c r="K772" s="6"/>
      <c r="L772" s="6"/>
      <c r="AZ772" s="4"/>
    </row>
    <row r="773" ht="15.75" customHeight="1">
      <c r="A773" s="4"/>
      <c r="B773" s="4"/>
      <c r="D773" s="2"/>
      <c r="F773" s="2"/>
      <c r="G773" s="6"/>
      <c r="H773" s="6"/>
      <c r="I773" s="2"/>
      <c r="K773" s="6"/>
      <c r="L773" s="6"/>
      <c r="AZ773" s="4"/>
    </row>
    <row r="774" ht="15.75" customHeight="1">
      <c r="A774" s="4"/>
      <c r="B774" s="4"/>
      <c r="D774" s="2"/>
      <c r="F774" s="2"/>
      <c r="G774" s="6"/>
      <c r="H774" s="6"/>
      <c r="I774" s="2"/>
      <c r="K774" s="6"/>
      <c r="L774" s="6"/>
      <c r="AZ774" s="4"/>
    </row>
    <row r="775" ht="15.75" customHeight="1">
      <c r="A775" s="4"/>
      <c r="B775" s="4"/>
      <c r="D775" s="2"/>
      <c r="F775" s="2"/>
      <c r="G775" s="6"/>
      <c r="H775" s="6"/>
      <c r="I775" s="2"/>
      <c r="K775" s="6"/>
      <c r="L775" s="6"/>
      <c r="AZ775" s="4"/>
    </row>
    <row r="776" ht="15.75" customHeight="1">
      <c r="A776" s="4"/>
      <c r="B776" s="4"/>
      <c r="D776" s="2"/>
      <c r="F776" s="2"/>
      <c r="G776" s="6"/>
      <c r="H776" s="6"/>
      <c r="I776" s="2"/>
      <c r="K776" s="6"/>
      <c r="L776" s="6"/>
      <c r="AZ776" s="4"/>
    </row>
    <row r="777" ht="15.75" customHeight="1">
      <c r="A777" s="4"/>
      <c r="B777" s="4"/>
      <c r="D777" s="2"/>
      <c r="F777" s="2"/>
      <c r="G777" s="6"/>
      <c r="H777" s="6"/>
      <c r="I777" s="2"/>
      <c r="K777" s="6"/>
      <c r="L777" s="6"/>
      <c r="AZ777" s="4"/>
    </row>
    <row r="778" ht="15.75" customHeight="1">
      <c r="A778" s="4"/>
      <c r="B778" s="4"/>
      <c r="D778" s="2"/>
      <c r="F778" s="2"/>
      <c r="G778" s="6"/>
      <c r="H778" s="6"/>
      <c r="I778" s="2"/>
      <c r="K778" s="6"/>
      <c r="L778" s="6"/>
      <c r="AZ778" s="4"/>
    </row>
    <row r="779" ht="15.75" customHeight="1">
      <c r="A779" s="4"/>
      <c r="B779" s="4"/>
      <c r="D779" s="2"/>
      <c r="F779" s="2"/>
      <c r="G779" s="6"/>
      <c r="H779" s="6"/>
      <c r="I779" s="2"/>
      <c r="K779" s="6"/>
      <c r="L779" s="6"/>
      <c r="AZ779" s="4"/>
    </row>
    <row r="780" ht="15.75" customHeight="1">
      <c r="A780" s="4"/>
      <c r="B780" s="4"/>
      <c r="D780" s="2"/>
      <c r="F780" s="2"/>
      <c r="G780" s="6"/>
      <c r="H780" s="6"/>
      <c r="I780" s="2"/>
      <c r="K780" s="6"/>
      <c r="L780" s="6"/>
      <c r="AZ780" s="4"/>
    </row>
    <row r="781" ht="15.75" customHeight="1">
      <c r="A781" s="4"/>
      <c r="B781" s="4"/>
      <c r="D781" s="2"/>
      <c r="F781" s="2"/>
      <c r="G781" s="6"/>
      <c r="H781" s="6"/>
      <c r="I781" s="2"/>
      <c r="K781" s="6"/>
      <c r="L781" s="6"/>
      <c r="AZ781" s="4"/>
    </row>
    <row r="782" ht="15.75" customHeight="1">
      <c r="A782" s="4"/>
      <c r="B782" s="4"/>
      <c r="D782" s="2"/>
      <c r="F782" s="2"/>
      <c r="G782" s="6"/>
      <c r="H782" s="6"/>
      <c r="I782" s="2"/>
      <c r="K782" s="6"/>
      <c r="L782" s="6"/>
      <c r="AZ782" s="4"/>
    </row>
    <row r="783" ht="15.75" customHeight="1">
      <c r="A783" s="4"/>
      <c r="B783" s="4"/>
      <c r="D783" s="2"/>
      <c r="F783" s="2"/>
      <c r="G783" s="6"/>
      <c r="H783" s="6"/>
      <c r="I783" s="2"/>
      <c r="K783" s="6"/>
      <c r="L783" s="6"/>
      <c r="AZ783" s="4"/>
    </row>
    <row r="784" ht="15.75" customHeight="1">
      <c r="A784" s="4"/>
      <c r="B784" s="4"/>
      <c r="D784" s="2"/>
      <c r="F784" s="2"/>
      <c r="G784" s="6"/>
      <c r="H784" s="6"/>
      <c r="I784" s="2"/>
      <c r="K784" s="6"/>
      <c r="L784" s="6"/>
      <c r="AZ784" s="4"/>
    </row>
    <row r="785" ht="15.75" customHeight="1">
      <c r="A785" s="4"/>
      <c r="B785" s="4"/>
      <c r="D785" s="2"/>
      <c r="F785" s="2"/>
      <c r="G785" s="6"/>
      <c r="H785" s="6"/>
      <c r="I785" s="2"/>
      <c r="K785" s="6"/>
      <c r="L785" s="6"/>
      <c r="AZ785" s="4"/>
    </row>
    <row r="786" ht="15.75" customHeight="1">
      <c r="A786" s="4"/>
      <c r="B786" s="4"/>
      <c r="D786" s="2"/>
      <c r="F786" s="2"/>
      <c r="G786" s="6"/>
      <c r="H786" s="6"/>
      <c r="I786" s="2"/>
      <c r="K786" s="6"/>
      <c r="L786" s="6"/>
      <c r="AZ786" s="4"/>
    </row>
    <row r="787" ht="15.75" customHeight="1">
      <c r="A787" s="4"/>
      <c r="B787" s="4"/>
      <c r="D787" s="2"/>
      <c r="F787" s="2"/>
      <c r="G787" s="6"/>
      <c r="H787" s="6"/>
      <c r="I787" s="2"/>
      <c r="K787" s="6"/>
      <c r="L787" s="6"/>
      <c r="AZ787" s="4"/>
    </row>
    <row r="788" ht="15.75" customHeight="1">
      <c r="A788" s="4"/>
      <c r="B788" s="4"/>
      <c r="D788" s="2"/>
      <c r="F788" s="2"/>
      <c r="G788" s="6"/>
      <c r="H788" s="6"/>
      <c r="I788" s="2"/>
      <c r="K788" s="6"/>
      <c r="L788" s="6"/>
      <c r="AZ788" s="4"/>
    </row>
    <row r="789" ht="15.75" customHeight="1">
      <c r="A789" s="4"/>
      <c r="B789" s="4"/>
      <c r="D789" s="2"/>
      <c r="F789" s="2"/>
      <c r="G789" s="6"/>
      <c r="H789" s="6"/>
      <c r="I789" s="2"/>
      <c r="K789" s="6"/>
      <c r="L789" s="6"/>
      <c r="AZ789" s="4"/>
    </row>
    <row r="790" ht="15.75" customHeight="1">
      <c r="A790" s="4"/>
      <c r="B790" s="4"/>
      <c r="D790" s="2"/>
      <c r="F790" s="2"/>
      <c r="G790" s="6"/>
      <c r="H790" s="6"/>
      <c r="I790" s="2"/>
      <c r="K790" s="6"/>
      <c r="L790" s="6"/>
      <c r="AZ790" s="4"/>
    </row>
    <row r="791" ht="15.75" customHeight="1">
      <c r="A791" s="4"/>
      <c r="B791" s="4"/>
      <c r="D791" s="2"/>
      <c r="F791" s="2"/>
      <c r="G791" s="6"/>
      <c r="H791" s="6"/>
      <c r="I791" s="2"/>
      <c r="K791" s="6"/>
      <c r="L791" s="6"/>
      <c r="AZ791" s="4"/>
    </row>
    <row r="792" ht="15.75" customHeight="1">
      <c r="A792" s="4"/>
      <c r="B792" s="4"/>
      <c r="D792" s="2"/>
      <c r="F792" s="2"/>
      <c r="G792" s="6"/>
      <c r="H792" s="6"/>
      <c r="I792" s="2"/>
      <c r="K792" s="6"/>
      <c r="L792" s="6"/>
      <c r="AZ792" s="4"/>
    </row>
    <row r="793" ht="15.75" customHeight="1">
      <c r="A793" s="4"/>
      <c r="B793" s="4"/>
      <c r="D793" s="2"/>
      <c r="F793" s="2"/>
      <c r="G793" s="6"/>
      <c r="H793" s="6"/>
      <c r="I793" s="2"/>
      <c r="K793" s="6"/>
      <c r="L793" s="6"/>
      <c r="AZ793" s="4"/>
    </row>
    <row r="794" ht="15.75" customHeight="1">
      <c r="A794" s="4"/>
      <c r="B794" s="4"/>
      <c r="D794" s="2"/>
      <c r="F794" s="2"/>
      <c r="G794" s="6"/>
      <c r="H794" s="6"/>
      <c r="I794" s="2"/>
      <c r="K794" s="6"/>
      <c r="L794" s="6"/>
      <c r="AZ794" s="4"/>
    </row>
    <row r="795" ht="15.75" customHeight="1">
      <c r="A795" s="4"/>
      <c r="B795" s="4"/>
      <c r="D795" s="2"/>
      <c r="F795" s="2"/>
      <c r="G795" s="6"/>
      <c r="H795" s="6"/>
      <c r="I795" s="2"/>
      <c r="K795" s="6"/>
      <c r="L795" s="6"/>
      <c r="AZ795" s="4"/>
    </row>
    <row r="796" ht="15.75" customHeight="1">
      <c r="A796" s="4"/>
      <c r="B796" s="4"/>
      <c r="D796" s="2"/>
      <c r="F796" s="2"/>
      <c r="G796" s="6"/>
      <c r="H796" s="6"/>
      <c r="I796" s="2"/>
      <c r="K796" s="6"/>
      <c r="L796" s="6"/>
      <c r="AZ796" s="4"/>
    </row>
    <row r="797" ht="15.75" customHeight="1">
      <c r="A797" s="4"/>
      <c r="B797" s="4"/>
      <c r="D797" s="2"/>
      <c r="F797" s="2"/>
      <c r="G797" s="6"/>
      <c r="H797" s="6"/>
      <c r="I797" s="2"/>
      <c r="K797" s="6"/>
      <c r="L797" s="6"/>
      <c r="AZ797" s="4"/>
    </row>
    <row r="798" ht="15.75" customHeight="1">
      <c r="A798" s="4"/>
      <c r="B798" s="4"/>
      <c r="D798" s="2"/>
      <c r="F798" s="2"/>
      <c r="G798" s="6"/>
      <c r="H798" s="6"/>
      <c r="I798" s="2"/>
      <c r="K798" s="6"/>
      <c r="L798" s="6"/>
      <c r="AZ798" s="4"/>
    </row>
    <row r="799" ht="15.75" customHeight="1">
      <c r="A799" s="4"/>
      <c r="B799" s="4"/>
      <c r="D799" s="2"/>
      <c r="F799" s="2"/>
      <c r="G799" s="6"/>
      <c r="H799" s="6"/>
      <c r="I799" s="2"/>
      <c r="K799" s="6"/>
      <c r="L799" s="6"/>
      <c r="AZ799" s="4"/>
    </row>
    <row r="800" ht="15.75" customHeight="1">
      <c r="A800" s="4"/>
      <c r="B800" s="4"/>
      <c r="D800" s="2"/>
      <c r="F800" s="2"/>
      <c r="G800" s="6"/>
      <c r="H800" s="6"/>
      <c r="I800" s="2"/>
      <c r="K800" s="6"/>
      <c r="L800" s="6"/>
      <c r="AZ800" s="4"/>
    </row>
    <row r="801" ht="15.75" customHeight="1">
      <c r="A801" s="4"/>
      <c r="B801" s="4"/>
      <c r="D801" s="2"/>
      <c r="F801" s="2"/>
      <c r="G801" s="6"/>
      <c r="H801" s="6"/>
      <c r="I801" s="2"/>
      <c r="K801" s="6"/>
      <c r="L801" s="6"/>
      <c r="AZ801" s="4"/>
    </row>
    <row r="802" ht="15.75" customHeight="1">
      <c r="A802" s="4"/>
      <c r="B802" s="4"/>
      <c r="D802" s="2"/>
      <c r="F802" s="2"/>
      <c r="G802" s="6"/>
      <c r="H802" s="6"/>
      <c r="I802" s="2"/>
      <c r="K802" s="6"/>
      <c r="L802" s="6"/>
      <c r="AZ802" s="4"/>
    </row>
    <row r="803" ht="15.75" customHeight="1">
      <c r="A803" s="4"/>
      <c r="B803" s="4"/>
      <c r="D803" s="2"/>
      <c r="F803" s="2"/>
      <c r="G803" s="6"/>
      <c r="H803" s="6"/>
      <c r="I803" s="2"/>
      <c r="K803" s="6"/>
      <c r="L803" s="6"/>
      <c r="AZ803" s="4"/>
    </row>
    <row r="804" ht="15.75" customHeight="1">
      <c r="A804" s="4"/>
      <c r="B804" s="4"/>
      <c r="D804" s="2"/>
      <c r="F804" s="2"/>
      <c r="G804" s="6"/>
      <c r="H804" s="6"/>
      <c r="I804" s="2"/>
      <c r="K804" s="6"/>
      <c r="L804" s="6"/>
      <c r="AZ804" s="4"/>
    </row>
    <row r="805" ht="15.75" customHeight="1">
      <c r="A805" s="4"/>
      <c r="B805" s="4"/>
      <c r="D805" s="2"/>
      <c r="F805" s="2"/>
      <c r="G805" s="6"/>
      <c r="H805" s="6"/>
      <c r="I805" s="2"/>
      <c r="K805" s="6"/>
      <c r="L805" s="6"/>
      <c r="AZ805" s="4"/>
    </row>
    <row r="806" ht="15.75" customHeight="1">
      <c r="A806" s="4"/>
      <c r="B806" s="4"/>
      <c r="D806" s="2"/>
      <c r="F806" s="2"/>
      <c r="G806" s="6"/>
      <c r="H806" s="6"/>
      <c r="I806" s="2"/>
      <c r="K806" s="6"/>
      <c r="L806" s="6"/>
      <c r="AZ806" s="4"/>
    </row>
    <row r="807" ht="15.75" customHeight="1">
      <c r="A807" s="4"/>
      <c r="B807" s="4"/>
      <c r="D807" s="2"/>
      <c r="F807" s="2"/>
      <c r="G807" s="6"/>
      <c r="H807" s="6"/>
      <c r="I807" s="2"/>
      <c r="K807" s="6"/>
      <c r="L807" s="6"/>
      <c r="AZ807" s="4"/>
    </row>
    <row r="808" ht="15.75" customHeight="1">
      <c r="A808" s="4"/>
      <c r="B808" s="4"/>
      <c r="D808" s="2"/>
      <c r="F808" s="2"/>
      <c r="G808" s="6"/>
      <c r="H808" s="6"/>
      <c r="I808" s="2"/>
      <c r="K808" s="6"/>
      <c r="L808" s="6"/>
      <c r="AZ808" s="4"/>
    </row>
    <row r="809" ht="15.75" customHeight="1">
      <c r="A809" s="4"/>
      <c r="B809" s="4"/>
      <c r="D809" s="2"/>
      <c r="F809" s="2"/>
      <c r="G809" s="6"/>
      <c r="H809" s="6"/>
      <c r="I809" s="2"/>
      <c r="K809" s="6"/>
      <c r="L809" s="6"/>
      <c r="AZ809" s="4"/>
    </row>
    <row r="810" ht="15.75" customHeight="1">
      <c r="A810" s="4"/>
      <c r="B810" s="4"/>
      <c r="D810" s="2"/>
      <c r="F810" s="2"/>
      <c r="G810" s="6"/>
      <c r="H810" s="6"/>
      <c r="I810" s="2"/>
      <c r="K810" s="6"/>
      <c r="L810" s="6"/>
      <c r="AZ810" s="4"/>
    </row>
    <row r="811" ht="15.75" customHeight="1">
      <c r="A811" s="4"/>
      <c r="B811" s="4"/>
      <c r="D811" s="2"/>
      <c r="F811" s="2"/>
      <c r="G811" s="6"/>
      <c r="H811" s="6"/>
      <c r="I811" s="2"/>
      <c r="K811" s="6"/>
      <c r="L811" s="6"/>
      <c r="AZ811" s="4"/>
    </row>
    <row r="812" ht="15.75" customHeight="1">
      <c r="A812" s="4"/>
      <c r="B812" s="4"/>
      <c r="D812" s="2"/>
      <c r="F812" s="2"/>
      <c r="G812" s="6"/>
      <c r="H812" s="6"/>
      <c r="I812" s="2"/>
      <c r="K812" s="6"/>
      <c r="L812" s="6"/>
      <c r="AZ812" s="4"/>
    </row>
    <row r="813" ht="15.75" customHeight="1">
      <c r="A813" s="4"/>
      <c r="B813" s="4"/>
      <c r="D813" s="2"/>
      <c r="F813" s="2"/>
      <c r="G813" s="6"/>
      <c r="H813" s="6"/>
      <c r="I813" s="2"/>
      <c r="K813" s="6"/>
      <c r="L813" s="6"/>
      <c r="AZ813" s="4"/>
    </row>
    <row r="814" ht="15.75" customHeight="1">
      <c r="A814" s="4"/>
      <c r="B814" s="4"/>
      <c r="D814" s="2"/>
      <c r="F814" s="2"/>
      <c r="G814" s="6"/>
      <c r="H814" s="6"/>
      <c r="I814" s="2"/>
      <c r="K814" s="6"/>
      <c r="L814" s="6"/>
      <c r="AZ814" s="4"/>
    </row>
    <row r="815" ht="15.75" customHeight="1">
      <c r="A815" s="4"/>
      <c r="B815" s="4"/>
      <c r="D815" s="2"/>
      <c r="F815" s="2"/>
      <c r="G815" s="6"/>
      <c r="H815" s="6"/>
      <c r="I815" s="2"/>
      <c r="K815" s="6"/>
      <c r="L815" s="6"/>
      <c r="AZ815" s="4"/>
    </row>
    <row r="816" ht="15.75" customHeight="1">
      <c r="A816" s="4"/>
      <c r="B816" s="4"/>
      <c r="D816" s="2"/>
      <c r="F816" s="2"/>
      <c r="G816" s="6"/>
      <c r="H816" s="6"/>
      <c r="I816" s="2"/>
      <c r="K816" s="6"/>
      <c r="L816" s="6"/>
      <c r="AZ816" s="4"/>
    </row>
    <row r="817" ht="15.75" customHeight="1">
      <c r="A817" s="4"/>
      <c r="B817" s="4"/>
      <c r="D817" s="2"/>
      <c r="F817" s="2"/>
      <c r="G817" s="6"/>
      <c r="H817" s="6"/>
      <c r="I817" s="2"/>
      <c r="K817" s="6"/>
      <c r="L817" s="6"/>
      <c r="AZ817" s="4"/>
    </row>
    <row r="818" ht="15.75" customHeight="1">
      <c r="A818" s="4"/>
      <c r="B818" s="4"/>
      <c r="D818" s="2"/>
      <c r="F818" s="2"/>
      <c r="G818" s="6"/>
      <c r="H818" s="6"/>
      <c r="I818" s="2"/>
      <c r="K818" s="6"/>
      <c r="L818" s="6"/>
      <c r="AZ818" s="4"/>
    </row>
    <row r="819" ht="15.75" customHeight="1">
      <c r="A819" s="4"/>
      <c r="B819" s="4"/>
      <c r="D819" s="2"/>
      <c r="F819" s="2"/>
      <c r="G819" s="6"/>
      <c r="H819" s="6"/>
      <c r="I819" s="2"/>
      <c r="K819" s="6"/>
      <c r="L819" s="6"/>
      <c r="AZ819" s="4"/>
    </row>
    <row r="820" ht="15.75" customHeight="1">
      <c r="A820" s="4"/>
      <c r="B820" s="4"/>
      <c r="D820" s="2"/>
      <c r="F820" s="2"/>
      <c r="G820" s="6"/>
      <c r="H820" s="6"/>
      <c r="I820" s="2"/>
      <c r="K820" s="6"/>
      <c r="L820" s="6"/>
      <c r="AZ820" s="4"/>
    </row>
    <row r="821" ht="15.75" customHeight="1">
      <c r="A821" s="4"/>
      <c r="B821" s="4"/>
      <c r="D821" s="2"/>
      <c r="F821" s="2"/>
      <c r="G821" s="6"/>
      <c r="H821" s="6"/>
      <c r="I821" s="2"/>
      <c r="K821" s="6"/>
      <c r="L821" s="6"/>
      <c r="AZ821" s="4"/>
    </row>
    <row r="822" ht="15.75" customHeight="1">
      <c r="A822" s="4"/>
      <c r="B822" s="4"/>
      <c r="D822" s="2"/>
      <c r="F822" s="2"/>
      <c r="G822" s="6"/>
      <c r="H822" s="6"/>
      <c r="I822" s="2"/>
      <c r="K822" s="6"/>
      <c r="L822" s="6"/>
      <c r="AZ822" s="4"/>
    </row>
    <row r="823" ht="15.75" customHeight="1">
      <c r="A823" s="4"/>
      <c r="B823" s="4"/>
      <c r="D823" s="2"/>
      <c r="F823" s="2"/>
      <c r="G823" s="6"/>
      <c r="H823" s="6"/>
      <c r="I823" s="2"/>
      <c r="K823" s="6"/>
      <c r="L823" s="6"/>
      <c r="AZ823" s="4"/>
    </row>
    <row r="824" ht="15.75" customHeight="1">
      <c r="A824" s="4"/>
      <c r="B824" s="4"/>
      <c r="D824" s="2"/>
      <c r="F824" s="2"/>
      <c r="G824" s="6"/>
      <c r="H824" s="6"/>
      <c r="I824" s="2"/>
      <c r="K824" s="6"/>
      <c r="L824" s="6"/>
      <c r="AZ824" s="4"/>
    </row>
    <row r="825" ht="15.75" customHeight="1">
      <c r="A825" s="4"/>
      <c r="B825" s="4"/>
      <c r="D825" s="2"/>
      <c r="F825" s="2"/>
      <c r="G825" s="6"/>
      <c r="H825" s="6"/>
      <c r="I825" s="2"/>
      <c r="K825" s="6"/>
      <c r="L825" s="6"/>
      <c r="AZ825" s="4"/>
    </row>
    <row r="826" ht="15.75" customHeight="1">
      <c r="A826" s="4"/>
      <c r="B826" s="4"/>
      <c r="D826" s="2"/>
      <c r="F826" s="2"/>
      <c r="G826" s="6"/>
      <c r="H826" s="6"/>
      <c r="I826" s="2"/>
      <c r="K826" s="6"/>
      <c r="L826" s="6"/>
      <c r="AZ826" s="4"/>
    </row>
    <row r="827" ht="15.75" customHeight="1">
      <c r="A827" s="4"/>
      <c r="B827" s="4"/>
      <c r="D827" s="2"/>
      <c r="F827" s="2"/>
      <c r="G827" s="6"/>
      <c r="H827" s="6"/>
      <c r="I827" s="2"/>
      <c r="K827" s="6"/>
      <c r="L827" s="6"/>
      <c r="AZ827" s="4"/>
    </row>
    <row r="828" ht="15.75" customHeight="1">
      <c r="A828" s="4"/>
      <c r="B828" s="4"/>
      <c r="D828" s="2"/>
      <c r="F828" s="2"/>
      <c r="G828" s="6"/>
      <c r="H828" s="6"/>
      <c r="I828" s="2"/>
      <c r="K828" s="6"/>
      <c r="L828" s="6"/>
      <c r="AZ828" s="4"/>
    </row>
    <row r="829" ht="15.75" customHeight="1">
      <c r="A829" s="4"/>
      <c r="B829" s="4"/>
      <c r="D829" s="2"/>
      <c r="F829" s="2"/>
      <c r="G829" s="6"/>
      <c r="H829" s="6"/>
      <c r="I829" s="2"/>
      <c r="K829" s="6"/>
      <c r="L829" s="6"/>
      <c r="AZ829" s="4"/>
    </row>
    <row r="830" ht="15.75" customHeight="1">
      <c r="A830" s="4"/>
      <c r="B830" s="4"/>
      <c r="D830" s="2"/>
      <c r="F830" s="2"/>
      <c r="G830" s="6"/>
      <c r="H830" s="6"/>
      <c r="I830" s="2"/>
      <c r="K830" s="6"/>
      <c r="L830" s="6"/>
      <c r="AZ830" s="4"/>
    </row>
    <row r="831" ht="15.75" customHeight="1">
      <c r="A831" s="4"/>
      <c r="B831" s="4"/>
      <c r="D831" s="2"/>
      <c r="F831" s="2"/>
      <c r="G831" s="6"/>
      <c r="H831" s="6"/>
      <c r="I831" s="2"/>
      <c r="K831" s="6"/>
      <c r="L831" s="6"/>
      <c r="AZ831" s="4"/>
    </row>
    <row r="832" ht="15.75" customHeight="1">
      <c r="A832" s="4"/>
      <c r="B832" s="4"/>
      <c r="D832" s="2"/>
      <c r="F832" s="2"/>
      <c r="G832" s="6"/>
      <c r="H832" s="6"/>
      <c r="I832" s="2"/>
      <c r="K832" s="6"/>
      <c r="L832" s="6"/>
      <c r="AZ832" s="4"/>
    </row>
    <row r="833" ht="15.75" customHeight="1">
      <c r="A833" s="4"/>
      <c r="B833" s="4"/>
      <c r="D833" s="2"/>
      <c r="F833" s="2"/>
      <c r="G833" s="6"/>
      <c r="H833" s="6"/>
      <c r="I833" s="2"/>
      <c r="K833" s="6"/>
      <c r="L833" s="6"/>
      <c r="AZ833" s="4"/>
    </row>
    <row r="834" ht="15.75" customHeight="1">
      <c r="A834" s="4"/>
      <c r="B834" s="4"/>
      <c r="D834" s="2"/>
      <c r="F834" s="2"/>
      <c r="G834" s="6"/>
      <c r="H834" s="6"/>
      <c r="I834" s="2"/>
      <c r="K834" s="6"/>
      <c r="L834" s="6"/>
      <c r="AZ834" s="4"/>
    </row>
    <row r="835" ht="15.75" customHeight="1">
      <c r="A835" s="4"/>
      <c r="B835" s="4"/>
      <c r="D835" s="2"/>
      <c r="F835" s="2"/>
      <c r="G835" s="6"/>
      <c r="H835" s="6"/>
      <c r="I835" s="2"/>
      <c r="K835" s="6"/>
      <c r="L835" s="6"/>
      <c r="AZ835" s="4"/>
    </row>
    <row r="836" ht="15.75" customHeight="1">
      <c r="A836" s="4"/>
      <c r="B836" s="4"/>
      <c r="D836" s="2"/>
      <c r="F836" s="2"/>
      <c r="G836" s="6"/>
      <c r="H836" s="6"/>
      <c r="I836" s="2"/>
      <c r="K836" s="6"/>
      <c r="L836" s="6"/>
      <c r="AZ836" s="4"/>
    </row>
    <row r="837" ht="15.75" customHeight="1">
      <c r="A837" s="4"/>
      <c r="B837" s="4"/>
      <c r="D837" s="2"/>
      <c r="F837" s="2"/>
      <c r="G837" s="6"/>
      <c r="H837" s="6"/>
      <c r="I837" s="2"/>
      <c r="K837" s="6"/>
      <c r="L837" s="6"/>
      <c r="AZ837" s="4"/>
    </row>
    <row r="838" ht="15.75" customHeight="1">
      <c r="A838" s="4"/>
      <c r="B838" s="4"/>
      <c r="D838" s="2"/>
      <c r="F838" s="2"/>
      <c r="G838" s="6"/>
      <c r="H838" s="6"/>
      <c r="I838" s="2"/>
      <c r="K838" s="6"/>
      <c r="L838" s="6"/>
      <c r="AZ838" s="4"/>
    </row>
    <row r="839" ht="15.75" customHeight="1">
      <c r="A839" s="4"/>
      <c r="B839" s="4"/>
      <c r="D839" s="2"/>
      <c r="F839" s="2"/>
      <c r="G839" s="6"/>
      <c r="H839" s="6"/>
      <c r="I839" s="2"/>
      <c r="K839" s="6"/>
      <c r="L839" s="6"/>
      <c r="AZ839" s="4"/>
    </row>
    <row r="840" ht="15.75" customHeight="1">
      <c r="A840" s="4"/>
      <c r="B840" s="4"/>
      <c r="D840" s="2"/>
      <c r="F840" s="2"/>
      <c r="G840" s="6"/>
      <c r="H840" s="6"/>
      <c r="I840" s="2"/>
      <c r="K840" s="6"/>
      <c r="L840" s="6"/>
      <c r="AZ840" s="4"/>
    </row>
    <row r="841" ht="15.75" customHeight="1">
      <c r="A841" s="4"/>
      <c r="B841" s="4"/>
      <c r="D841" s="2"/>
      <c r="F841" s="2"/>
      <c r="G841" s="6"/>
      <c r="H841" s="6"/>
      <c r="I841" s="2"/>
      <c r="K841" s="6"/>
      <c r="L841" s="6"/>
      <c r="AZ841" s="4"/>
    </row>
    <row r="842" ht="15.75" customHeight="1">
      <c r="A842" s="4"/>
      <c r="B842" s="4"/>
      <c r="D842" s="2"/>
      <c r="F842" s="2"/>
      <c r="G842" s="6"/>
      <c r="H842" s="6"/>
      <c r="I842" s="2"/>
      <c r="K842" s="6"/>
      <c r="L842" s="6"/>
      <c r="AZ842" s="4"/>
    </row>
    <row r="843" ht="15.75" customHeight="1">
      <c r="A843" s="4"/>
      <c r="B843" s="4"/>
      <c r="D843" s="2"/>
      <c r="F843" s="2"/>
      <c r="G843" s="6"/>
      <c r="H843" s="6"/>
      <c r="I843" s="2"/>
      <c r="K843" s="6"/>
      <c r="L843" s="6"/>
      <c r="AZ843" s="4"/>
    </row>
    <row r="844" ht="15.75" customHeight="1">
      <c r="A844" s="4"/>
      <c r="B844" s="4"/>
      <c r="D844" s="2"/>
      <c r="F844" s="2"/>
      <c r="G844" s="6"/>
      <c r="H844" s="6"/>
      <c r="I844" s="2"/>
      <c r="K844" s="6"/>
      <c r="L844" s="6"/>
      <c r="AZ844" s="4"/>
    </row>
    <row r="845" ht="15.75" customHeight="1">
      <c r="A845" s="4"/>
      <c r="B845" s="4"/>
      <c r="D845" s="2"/>
      <c r="F845" s="2"/>
      <c r="G845" s="6"/>
      <c r="H845" s="6"/>
      <c r="I845" s="2"/>
      <c r="K845" s="6"/>
      <c r="L845" s="6"/>
      <c r="AZ845" s="4"/>
    </row>
    <row r="846" ht="15.75" customHeight="1">
      <c r="A846" s="4"/>
      <c r="B846" s="4"/>
      <c r="D846" s="2"/>
      <c r="F846" s="2"/>
      <c r="G846" s="6"/>
      <c r="H846" s="6"/>
      <c r="I846" s="2"/>
      <c r="K846" s="6"/>
      <c r="L846" s="6"/>
      <c r="AZ846" s="4"/>
    </row>
    <row r="847" ht="15.75" customHeight="1">
      <c r="A847" s="4"/>
      <c r="B847" s="4"/>
      <c r="D847" s="2"/>
      <c r="F847" s="2"/>
      <c r="G847" s="6"/>
      <c r="H847" s="6"/>
      <c r="I847" s="2"/>
      <c r="K847" s="6"/>
      <c r="L847" s="6"/>
      <c r="AZ847" s="4"/>
    </row>
    <row r="848" ht="15.75" customHeight="1">
      <c r="A848" s="4"/>
      <c r="B848" s="4"/>
      <c r="D848" s="2"/>
      <c r="F848" s="2"/>
      <c r="G848" s="6"/>
      <c r="H848" s="6"/>
      <c r="I848" s="2"/>
      <c r="K848" s="6"/>
      <c r="L848" s="6"/>
      <c r="AZ848" s="4"/>
    </row>
    <row r="849" ht="15.75" customHeight="1">
      <c r="A849" s="4"/>
      <c r="B849" s="4"/>
      <c r="D849" s="2"/>
      <c r="F849" s="2"/>
      <c r="G849" s="6"/>
      <c r="H849" s="6"/>
      <c r="I849" s="2"/>
      <c r="K849" s="6"/>
      <c r="L849" s="6"/>
      <c r="AZ849" s="4"/>
    </row>
    <row r="850" ht="15.75" customHeight="1">
      <c r="A850" s="4"/>
      <c r="B850" s="4"/>
      <c r="D850" s="2"/>
      <c r="F850" s="2"/>
      <c r="G850" s="6"/>
      <c r="H850" s="6"/>
      <c r="I850" s="2"/>
      <c r="K850" s="6"/>
      <c r="L850" s="6"/>
      <c r="AZ850" s="4"/>
    </row>
    <row r="851" ht="15.75" customHeight="1">
      <c r="A851" s="4"/>
      <c r="B851" s="4"/>
      <c r="D851" s="2"/>
      <c r="F851" s="2"/>
      <c r="G851" s="6"/>
      <c r="H851" s="6"/>
      <c r="I851" s="2"/>
      <c r="K851" s="6"/>
      <c r="L851" s="6"/>
      <c r="AZ851" s="4"/>
    </row>
    <row r="852" ht="15.75" customHeight="1">
      <c r="A852" s="4"/>
      <c r="B852" s="4"/>
      <c r="D852" s="2"/>
      <c r="F852" s="2"/>
      <c r="G852" s="6"/>
      <c r="H852" s="6"/>
      <c r="I852" s="2"/>
      <c r="K852" s="6"/>
      <c r="L852" s="6"/>
      <c r="AZ852" s="4"/>
    </row>
    <row r="853" ht="15.75" customHeight="1">
      <c r="A853" s="4"/>
      <c r="B853" s="4"/>
      <c r="D853" s="2"/>
      <c r="F853" s="2"/>
      <c r="G853" s="6"/>
      <c r="H853" s="6"/>
      <c r="I853" s="2"/>
      <c r="K853" s="6"/>
      <c r="L853" s="6"/>
      <c r="AZ853" s="4"/>
    </row>
    <row r="854" ht="15.75" customHeight="1">
      <c r="A854" s="4"/>
      <c r="B854" s="4"/>
      <c r="D854" s="2"/>
      <c r="F854" s="2"/>
      <c r="G854" s="6"/>
      <c r="H854" s="6"/>
      <c r="I854" s="2"/>
      <c r="K854" s="6"/>
      <c r="L854" s="6"/>
      <c r="AZ854" s="4"/>
    </row>
    <row r="855" ht="15.75" customHeight="1">
      <c r="A855" s="4"/>
      <c r="B855" s="4"/>
      <c r="D855" s="2"/>
      <c r="F855" s="2"/>
      <c r="G855" s="6"/>
      <c r="H855" s="6"/>
      <c r="I855" s="2"/>
      <c r="K855" s="6"/>
      <c r="L855" s="6"/>
      <c r="AZ855" s="4"/>
    </row>
    <row r="856" ht="15.75" customHeight="1">
      <c r="A856" s="4"/>
      <c r="B856" s="4"/>
      <c r="D856" s="2"/>
      <c r="F856" s="2"/>
      <c r="G856" s="6"/>
      <c r="H856" s="6"/>
      <c r="I856" s="2"/>
      <c r="K856" s="6"/>
      <c r="L856" s="6"/>
      <c r="AZ856" s="4"/>
    </row>
    <row r="857" ht="15.75" customHeight="1">
      <c r="A857" s="4"/>
      <c r="B857" s="4"/>
      <c r="D857" s="2"/>
      <c r="F857" s="2"/>
      <c r="G857" s="6"/>
      <c r="H857" s="6"/>
      <c r="I857" s="2"/>
      <c r="K857" s="6"/>
      <c r="L857" s="6"/>
      <c r="AZ857" s="4"/>
    </row>
    <row r="858" ht="15.75" customHeight="1">
      <c r="A858" s="4"/>
      <c r="B858" s="4"/>
      <c r="D858" s="2"/>
      <c r="F858" s="2"/>
      <c r="G858" s="6"/>
      <c r="H858" s="6"/>
      <c r="I858" s="2"/>
      <c r="K858" s="6"/>
      <c r="L858" s="6"/>
      <c r="AZ858" s="4"/>
    </row>
    <row r="859" ht="15.75" customHeight="1">
      <c r="A859" s="4"/>
      <c r="B859" s="4"/>
      <c r="D859" s="2"/>
      <c r="F859" s="2"/>
      <c r="G859" s="6"/>
      <c r="H859" s="6"/>
      <c r="I859" s="2"/>
      <c r="K859" s="6"/>
      <c r="L859" s="6"/>
      <c r="AZ859" s="4"/>
    </row>
    <row r="860" ht="15.75" customHeight="1">
      <c r="A860" s="4"/>
      <c r="B860" s="4"/>
      <c r="D860" s="2"/>
      <c r="F860" s="2"/>
      <c r="G860" s="6"/>
      <c r="H860" s="6"/>
      <c r="I860" s="2"/>
      <c r="K860" s="6"/>
      <c r="L860" s="6"/>
      <c r="AZ860" s="4"/>
    </row>
    <row r="861" ht="15.75" customHeight="1">
      <c r="A861" s="4"/>
      <c r="B861" s="4"/>
      <c r="D861" s="2"/>
      <c r="F861" s="2"/>
      <c r="G861" s="6"/>
      <c r="H861" s="6"/>
      <c r="I861" s="2"/>
      <c r="K861" s="6"/>
      <c r="L861" s="6"/>
      <c r="AZ861" s="4"/>
    </row>
    <row r="862" ht="15.75" customHeight="1">
      <c r="A862" s="4"/>
      <c r="B862" s="4"/>
      <c r="D862" s="2"/>
      <c r="F862" s="2"/>
      <c r="G862" s="6"/>
      <c r="H862" s="6"/>
      <c r="I862" s="2"/>
      <c r="K862" s="6"/>
      <c r="L862" s="6"/>
      <c r="AZ862" s="4"/>
    </row>
    <row r="863" ht="15.75" customHeight="1">
      <c r="A863" s="4"/>
      <c r="B863" s="4"/>
      <c r="D863" s="2"/>
      <c r="F863" s="2"/>
      <c r="G863" s="6"/>
      <c r="H863" s="6"/>
      <c r="I863" s="2"/>
      <c r="K863" s="6"/>
      <c r="L863" s="6"/>
      <c r="AZ863" s="4"/>
    </row>
    <row r="864" ht="15.75" customHeight="1">
      <c r="A864" s="4"/>
      <c r="B864" s="4"/>
      <c r="D864" s="2"/>
      <c r="F864" s="2"/>
      <c r="G864" s="6"/>
      <c r="H864" s="6"/>
      <c r="I864" s="2"/>
      <c r="K864" s="6"/>
      <c r="L864" s="6"/>
      <c r="AZ864" s="4"/>
    </row>
    <row r="865" ht="15.75" customHeight="1">
      <c r="A865" s="4"/>
      <c r="B865" s="4"/>
      <c r="D865" s="2"/>
      <c r="F865" s="2"/>
      <c r="G865" s="6"/>
      <c r="H865" s="6"/>
      <c r="I865" s="2"/>
      <c r="K865" s="6"/>
      <c r="L865" s="6"/>
      <c r="AZ865" s="4"/>
    </row>
    <row r="866" ht="15.75" customHeight="1">
      <c r="A866" s="4"/>
      <c r="B866" s="4"/>
      <c r="D866" s="2"/>
      <c r="F866" s="2"/>
      <c r="G866" s="6"/>
      <c r="H866" s="6"/>
      <c r="I866" s="2"/>
      <c r="K866" s="6"/>
      <c r="L866" s="6"/>
      <c r="AZ866" s="4"/>
    </row>
    <row r="867" ht="15.75" customHeight="1">
      <c r="A867" s="4"/>
      <c r="B867" s="4"/>
      <c r="D867" s="2"/>
      <c r="F867" s="2"/>
      <c r="G867" s="6"/>
      <c r="H867" s="6"/>
      <c r="I867" s="2"/>
      <c r="K867" s="6"/>
      <c r="L867" s="6"/>
      <c r="AZ867" s="4"/>
    </row>
    <row r="868" ht="15.75" customHeight="1">
      <c r="A868" s="4"/>
      <c r="B868" s="4"/>
      <c r="D868" s="2"/>
      <c r="F868" s="2"/>
      <c r="G868" s="6"/>
      <c r="H868" s="6"/>
      <c r="I868" s="2"/>
      <c r="K868" s="6"/>
      <c r="L868" s="6"/>
      <c r="AZ868" s="4"/>
    </row>
    <row r="869" ht="15.75" customHeight="1">
      <c r="A869" s="4"/>
      <c r="B869" s="4"/>
      <c r="D869" s="2"/>
      <c r="F869" s="2"/>
      <c r="G869" s="6"/>
      <c r="H869" s="6"/>
      <c r="I869" s="2"/>
      <c r="K869" s="6"/>
      <c r="L869" s="6"/>
      <c r="AZ869" s="4"/>
    </row>
    <row r="870" ht="15.75" customHeight="1">
      <c r="A870" s="4"/>
      <c r="B870" s="4"/>
      <c r="D870" s="2"/>
      <c r="F870" s="2"/>
      <c r="G870" s="6"/>
      <c r="H870" s="6"/>
      <c r="I870" s="2"/>
      <c r="K870" s="6"/>
      <c r="L870" s="6"/>
      <c r="AZ870" s="4"/>
    </row>
    <row r="871" ht="15.75" customHeight="1">
      <c r="A871" s="4"/>
      <c r="B871" s="4"/>
      <c r="D871" s="2"/>
      <c r="F871" s="2"/>
      <c r="G871" s="6"/>
      <c r="H871" s="6"/>
      <c r="I871" s="2"/>
      <c r="K871" s="6"/>
      <c r="L871" s="6"/>
      <c r="AZ871" s="4"/>
    </row>
    <row r="872" ht="15.75" customHeight="1">
      <c r="A872" s="4"/>
      <c r="B872" s="4"/>
      <c r="D872" s="2"/>
      <c r="F872" s="2"/>
      <c r="G872" s="6"/>
      <c r="H872" s="6"/>
      <c r="I872" s="2"/>
      <c r="K872" s="6"/>
      <c r="L872" s="6"/>
      <c r="AZ872" s="4"/>
    </row>
    <row r="873" ht="15.75" customHeight="1">
      <c r="A873" s="4"/>
      <c r="B873" s="4"/>
      <c r="D873" s="2"/>
      <c r="F873" s="2"/>
      <c r="G873" s="6"/>
      <c r="H873" s="6"/>
      <c r="I873" s="2"/>
      <c r="K873" s="6"/>
      <c r="L873" s="6"/>
      <c r="AZ873" s="4"/>
    </row>
    <row r="874" ht="15.75" customHeight="1">
      <c r="A874" s="4"/>
      <c r="B874" s="4"/>
      <c r="D874" s="2"/>
      <c r="F874" s="2"/>
      <c r="G874" s="6"/>
      <c r="H874" s="6"/>
      <c r="I874" s="2"/>
      <c r="K874" s="6"/>
      <c r="L874" s="6"/>
      <c r="AZ874" s="4"/>
    </row>
    <row r="875" ht="15.75" customHeight="1">
      <c r="A875" s="4"/>
      <c r="B875" s="4"/>
      <c r="D875" s="2"/>
      <c r="F875" s="2"/>
      <c r="G875" s="6"/>
      <c r="H875" s="6"/>
      <c r="I875" s="2"/>
      <c r="K875" s="6"/>
      <c r="L875" s="6"/>
      <c r="AZ875" s="4"/>
    </row>
    <row r="876" ht="15.75" customHeight="1">
      <c r="A876" s="4"/>
      <c r="B876" s="4"/>
      <c r="D876" s="2"/>
      <c r="F876" s="2"/>
      <c r="G876" s="6"/>
      <c r="H876" s="6"/>
      <c r="I876" s="2"/>
      <c r="K876" s="6"/>
      <c r="L876" s="6"/>
      <c r="AZ876" s="4"/>
    </row>
    <row r="877" ht="15.75" customHeight="1">
      <c r="A877" s="4"/>
      <c r="B877" s="4"/>
      <c r="D877" s="2"/>
      <c r="F877" s="2"/>
      <c r="G877" s="6"/>
      <c r="H877" s="6"/>
      <c r="I877" s="2"/>
      <c r="K877" s="6"/>
      <c r="L877" s="6"/>
      <c r="AZ877" s="4"/>
    </row>
    <row r="878" ht="15.75" customHeight="1">
      <c r="A878" s="4"/>
      <c r="B878" s="4"/>
      <c r="D878" s="2"/>
      <c r="F878" s="2"/>
      <c r="G878" s="6"/>
      <c r="H878" s="6"/>
      <c r="I878" s="2"/>
      <c r="K878" s="6"/>
      <c r="L878" s="6"/>
      <c r="AZ878" s="4"/>
    </row>
    <row r="879" ht="15.75" customHeight="1">
      <c r="A879" s="4"/>
      <c r="B879" s="4"/>
      <c r="D879" s="2"/>
      <c r="F879" s="2"/>
      <c r="G879" s="6"/>
      <c r="H879" s="6"/>
      <c r="I879" s="2"/>
      <c r="K879" s="6"/>
      <c r="L879" s="6"/>
      <c r="AZ879" s="4"/>
    </row>
    <row r="880" ht="15.75" customHeight="1">
      <c r="A880" s="4"/>
      <c r="B880" s="4"/>
      <c r="D880" s="2"/>
      <c r="F880" s="2"/>
      <c r="G880" s="6"/>
      <c r="H880" s="6"/>
      <c r="I880" s="2"/>
      <c r="K880" s="6"/>
      <c r="L880" s="6"/>
      <c r="AZ880" s="4"/>
    </row>
    <row r="881" ht="15.75" customHeight="1">
      <c r="A881" s="4"/>
      <c r="B881" s="4"/>
      <c r="D881" s="2"/>
      <c r="F881" s="2"/>
      <c r="G881" s="6"/>
      <c r="H881" s="6"/>
      <c r="I881" s="2"/>
      <c r="K881" s="6"/>
      <c r="L881" s="6"/>
      <c r="AZ881" s="4"/>
    </row>
    <row r="882" ht="15.75" customHeight="1">
      <c r="A882" s="4"/>
      <c r="B882" s="4"/>
      <c r="D882" s="2"/>
      <c r="F882" s="2"/>
      <c r="G882" s="6"/>
      <c r="H882" s="6"/>
      <c r="I882" s="2"/>
      <c r="K882" s="6"/>
      <c r="L882" s="6"/>
      <c r="AZ882" s="4"/>
    </row>
    <row r="883" ht="15.75" customHeight="1">
      <c r="A883" s="4"/>
      <c r="B883" s="4"/>
      <c r="D883" s="2"/>
      <c r="F883" s="2"/>
      <c r="G883" s="6"/>
      <c r="H883" s="6"/>
      <c r="I883" s="2"/>
      <c r="K883" s="6"/>
      <c r="L883" s="6"/>
      <c r="AZ883" s="4"/>
    </row>
    <row r="884" ht="15.75" customHeight="1">
      <c r="A884" s="4"/>
      <c r="B884" s="4"/>
      <c r="D884" s="2"/>
      <c r="F884" s="2"/>
      <c r="G884" s="6"/>
      <c r="H884" s="6"/>
      <c r="I884" s="2"/>
      <c r="K884" s="6"/>
      <c r="L884" s="6"/>
      <c r="AZ884" s="4"/>
    </row>
    <row r="885" ht="15.75" customHeight="1">
      <c r="A885" s="4"/>
      <c r="B885" s="4"/>
      <c r="D885" s="2"/>
      <c r="F885" s="2"/>
      <c r="G885" s="6"/>
      <c r="H885" s="6"/>
      <c r="I885" s="2"/>
      <c r="K885" s="6"/>
      <c r="L885" s="6"/>
      <c r="AZ885" s="4"/>
    </row>
    <row r="886" ht="15.75" customHeight="1">
      <c r="A886" s="4"/>
      <c r="B886" s="4"/>
      <c r="D886" s="2"/>
      <c r="F886" s="2"/>
      <c r="G886" s="6"/>
      <c r="H886" s="6"/>
      <c r="I886" s="2"/>
      <c r="K886" s="6"/>
      <c r="L886" s="6"/>
      <c r="AZ886" s="4"/>
    </row>
    <row r="887" ht="15.75" customHeight="1">
      <c r="A887" s="4"/>
      <c r="B887" s="4"/>
      <c r="D887" s="2"/>
      <c r="F887" s="2"/>
      <c r="G887" s="6"/>
      <c r="H887" s="6"/>
      <c r="I887" s="2"/>
      <c r="K887" s="6"/>
      <c r="L887" s="6"/>
      <c r="AZ887" s="4"/>
    </row>
    <row r="888" ht="15.75" customHeight="1">
      <c r="A888" s="4"/>
      <c r="B888" s="4"/>
      <c r="D888" s="2"/>
      <c r="F888" s="2"/>
      <c r="G888" s="6"/>
      <c r="H888" s="6"/>
      <c r="I888" s="2"/>
      <c r="K888" s="6"/>
      <c r="L888" s="6"/>
      <c r="AZ888" s="4"/>
    </row>
    <row r="889" ht="15.75" customHeight="1">
      <c r="A889" s="4"/>
      <c r="B889" s="4"/>
      <c r="D889" s="2"/>
      <c r="F889" s="2"/>
      <c r="G889" s="6"/>
      <c r="H889" s="6"/>
      <c r="I889" s="2"/>
      <c r="K889" s="6"/>
      <c r="L889" s="6"/>
      <c r="AZ889" s="4"/>
    </row>
    <row r="890" ht="15.75" customHeight="1">
      <c r="A890" s="4"/>
      <c r="B890" s="4"/>
      <c r="D890" s="2"/>
      <c r="F890" s="2"/>
      <c r="G890" s="6"/>
      <c r="H890" s="6"/>
      <c r="I890" s="2"/>
      <c r="K890" s="6"/>
      <c r="L890" s="6"/>
      <c r="AZ890" s="4"/>
    </row>
    <row r="891" ht="15.75" customHeight="1">
      <c r="A891" s="4"/>
      <c r="B891" s="4"/>
      <c r="D891" s="2"/>
      <c r="F891" s="2"/>
      <c r="G891" s="6"/>
      <c r="H891" s="6"/>
      <c r="I891" s="2"/>
      <c r="K891" s="6"/>
      <c r="L891" s="6"/>
      <c r="AZ891" s="4"/>
    </row>
    <row r="892" ht="15.75" customHeight="1">
      <c r="A892" s="4"/>
      <c r="B892" s="4"/>
      <c r="D892" s="2"/>
      <c r="F892" s="2"/>
      <c r="G892" s="6"/>
      <c r="H892" s="6"/>
      <c r="I892" s="2"/>
      <c r="K892" s="6"/>
      <c r="L892" s="6"/>
      <c r="AZ892" s="4"/>
    </row>
    <row r="893" ht="15.75" customHeight="1">
      <c r="A893" s="4"/>
      <c r="B893" s="4"/>
      <c r="D893" s="2"/>
      <c r="F893" s="2"/>
      <c r="G893" s="6"/>
      <c r="H893" s="6"/>
      <c r="I893" s="2"/>
      <c r="K893" s="6"/>
      <c r="L893" s="6"/>
      <c r="AZ893" s="4"/>
    </row>
    <row r="894" ht="15.75" customHeight="1">
      <c r="A894" s="4"/>
      <c r="B894" s="4"/>
      <c r="D894" s="2"/>
      <c r="F894" s="2"/>
      <c r="G894" s="6"/>
      <c r="H894" s="6"/>
      <c r="I894" s="2"/>
      <c r="K894" s="6"/>
      <c r="L894" s="6"/>
      <c r="AZ894" s="4"/>
    </row>
    <row r="895" ht="15.75" customHeight="1">
      <c r="A895" s="4"/>
      <c r="B895" s="4"/>
      <c r="D895" s="2"/>
      <c r="F895" s="2"/>
      <c r="G895" s="6"/>
      <c r="H895" s="6"/>
      <c r="I895" s="2"/>
      <c r="K895" s="6"/>
      <c r="L895" s="6"/>
      <c r="AZ895" s="4"/>
    </row>
    <row r="896" ht="15.75" customHeight="1">
      <c r="A896" s="4"/>
      <c r="B896" s="4"/>
      <c r="D896" s="2"/>
      <c r="F896" s="2"/>
      <c r="G896" s="6"/>
      <c r="H896" s="6"/>
      <c r="I896" s="2"/>
      <c r="K896" s="6"/>
      <c r="L896" s="6"/>
      <c r="AZ896" s="4"/>
    </row>
    <row r="897" ht="15.75" customHeight="1">
      <c r="A897" s="4"/>
      <c r="B897" s="4"/>
      <c r="D897" s="2"/>
      <c r="F897" s="2"/>
      <c r="G897" s="6"/>
      <c r="H897" s="6"/>
      <c r="I897" s="2"/>
      <c r="K897" s="6"/>
      <c r="L897" s="6"/>
      <c r="AZ897" s="4"/>
    </row>
    <row r="898" ht="15.75" customHeight="1">
      <c r="A898" s="4"/>
      <c r="B898" s="4"/>
      <c r="D898" s="2"/>
      <c r="F898" s="2"/>
      <c r="G898" s="6"/>
      <c r="H898" s="6"/>
      <c r="I898" s="2"/>
      <c r="K898" s="6"/>
      <c r="L898" s="6"/>
      <c r="AZ898" s="4"/>
    </row>
    <row r="899" ht="15.75" customHeight="1">
      <c r="A899" s="4"/>
      <c r="B899" s="4"/>
      <c r="D899" s="2"/>
      <c r="F899" s="2"/>
      <c r="G899" s="6"/>
      <c r="H899" s="6"/>
      <c r="I899" s="2"/>
      <c r="K899" s="6"/>
      <c r="L899" s="6"/>
      <c r="AZ899" s="4"/>
    </row>
    <row r="900" ht="15.75" customHeight="1">
      <c r="A900" s="4"/>
      <c r="B900" s="4"/>
      <c r="D900" s="2"/>
      <c r="F900" s="2"/>
      <c r="G900" s="6"/>
      <c r="H900" s="6"/>
      <c r="I900" s="2"/>
      <c r="K900" s="6"/>
      <c r="L900" s="6"/>
      <c r="AZ900" s="4"/>
    </row>
    <row r="901" ht="15.75" customHeight="1">
      <c r="A901" s="4"/>
      <c r="B901" s="4"/>
      <c r="D901" s="2"/>
      <c r="F901" s="2"/>
      <c r="G901" s="6"/>
      <c r="H901" s="6"/>
      <c r="I901" s="2"/>
      <c r="K901" s="6"/>
      <c r="L901" s="6"/>
      <c r="AZ901" s="4"/>
    </row>
    <row r="902" ht="15.75" customHeight="1">
      <c r="A902" s="4"/>
      <c r="B902" s="4"/>
      <c r="D902" s="2"/>
      <c r="F902" s="2"/>
      <c r="G902" s="6"/>
      <c r="H902" s="6"/>
      <c r="I902" s="2"/>
      <c r="K902" s="6"/>
      <c r="L902" s="6"/>
      <c r="AZ902" s="4"/>
    </row>
    <row r="903" ht="15.75" customHeight="1">
      <c r="A903" s="4"/>
      <c r="B903" s="4"/>
      <c r="D903" s="2"/>
      <c r="F903" s="2"/>
      <c r="G903" s="6"/>
      <c r="H903" s="6"/>
      <c r="I903" s="2"/>
      <c r="K903" s="6"/>
      <c r="L903" s="6"/>
      <c r="AZ903" s="4"/>
    </row>
    <row r="904" ht="15.75" customHeight="1">
      <c r="A904" s="4"/>
      <c r="B904" s="4"/>
      <c r="D904" s="2"/>
      <c r="F904" s="2"/>
      <c r="G904" s="6"/>
      <c r="H904" s="6"/>
      <c r="I904" s="2"/>
      <c r="K904" s="6"/>
      <c r="L904" s="6"/>
      <c r="AZ904" s="4"/>
    </row>
    <row r="905" ht="15.75" customHeight="1">
      <c r="A905" s="4"/>
      <c r="B905" s="4"/>
      <c r="D905" s="2"/>
      <c r="F905" s="2"/>
      <c r="G905" s="6"/>
      <c r="H905" s="6"/>
      <c r="I905" s="2"/>
      <c r="K905" s="6"/>
      <c r="L905" s="6"/>
      <c r="AZ905" s="4"/>
    </row>
    <row r="906" ht="15.75" customHeight="1">
      <c r="A906" s="4"/>
      <c r="B906" s="4"/>
      <c r="D906" s="2"/>
      <c r="F906" s="2"/>
      <c r="G906" s="6"/>
      <c r="H906" s="6"/>
      <c r="I906" s="2"/>
      <c r="K906" s="6"/>
      <c r="L906" s="6"/>
      <c r="AZ906" s="4"/>
    </row>
    <row r="907" ht="15.75" customHeight="1">
      <c r="A907" s="4"/>
      <c r="B907" s="4"/>
      <c r="D907" s="2"/>
      <c r="F907" s="2"/>
      <c r="G907" s="6"/>
      <c r="H907" s="6"/>
      <c r="I907" s="2"/>
      <c r="K907" s="6"/>
      <c r="L907" s="6"/>
      <c r="AZ907" s="4"/>
    </row>
    <row r="908" ht="15.75" customHeight="1">
      <c r="A908" s="4"/>
      <c r="B908" s="4"/>
      <c r="D908" s="2"/>
      <c r="F908" s="2"/>
      <c r="G908" s="6"/>
      <c r="H908" s="6"/>
      <c r="I908" s="2"/>
      <c r="K908" s="6"/>
      <c r="L908" s="6"/>
      <c r="AZ908" s="4"/>
    </row>
    <row r="909" ht="15.75" customHeight="1">
      <c r="A909" s="4"/>
      <c r="B909" s="4"/>
      <c r="D909" s="2"/>
      <c r="F909" s="2"/>
      <c r="G909" s="6"/>
      <c r="H909" s="6"/>
      <c r="I909" s="2"/>
      <c r="K909" s="6"/>
      <c r="L909" s="6"/>
      <c r="AZ909" s="4"/>
    </row>
    <row r="910" ht="15.75" customHeight="1">
      <c r="A910" s="4"/>
      <c r="B910" s="4"/>
      <c r="D910" s="2"/>
      <c r="F910" s="2"/>
      <c r="G910" s="6"/>
      <c r="H910" s="6"/>
      <c r="I910" s="2"/>
      <c r="K910" s="6"/>
      <c r="L910" s="6"/>
      <c r="AZ910" s="4"/>
    </row>
    <row r="911" ht="15.75" customHeight="1">
      <c r="A911" s="4"/>
      <c r="B911" s="4"/>
      <c r="D911" s="2"/>
      <c r="F911" s="2"/>
      <c r="G911" s="6"/>
      <c r="H911" s="6"/>
      <c r="I911" s="2"/>
      <c r="K911" s="6"/>
      <c r="L911" s="6"/>
      <c r="AZ911" s="4"/>
    </row>
    <row r="912" ht="15.75" customHeight="1">
      <c r="A912" s="4"/>
      <c r="B912" s="4"/>
      <c r="D912" s="2"/>
      <c r="F912" s="2"/>
      <c r="G912" s="6"/>
      <c r="H912" s="6"/>
      <c r="I912" s="2"/>
      <c r="K912" s="6"/>
      <c r="L912" s="6"/>
      <c r="AZ912" s="4"/>
    </row>
    <row r="913" ht="15.75" customHeight="1">
      <c r="A913" s="4"/>
      <c r="B913" s="4"/>
      <c r="D913" s="2"/>
      <c r="F913" s="2"/>
      <c r="G913" s="6"/>
      <c r="H913" s="6"/>
      <c r="I913" s="2"/>
      <c r="K913" s="6"/>
      <c r="L913" s="6"/>
      <c r="AZ913" s="4"/>
    </row>
    <row r="914" ht="15.75" customHeight="1">
      <c r="A914" s="4"/>
      <c r="B914" s="4"/>
      <c r="D914" s="2"/>
      <c r="F914" s="2"/>
      <c r="G914" s="6"/>
      <c r="H914" s="6"/>
      <c r="I914" s="2"/>
      <c r="K914" s="6"/>
      <c r="L914" s="6"/>
      <c r="AZ914" s="4"/>
    </row>
    <row r="915" ht="15.75" customHeight="1">
      <c r="A915" s="4"/>
      <c r="B915" s="4"/>
      <c r="D915" s="2"/>
      <c r="F915" s="2"/>
      <c r="G915" s="6"/>
      <c r="H915" s="6"/>
      <c r="I915" s="2"/>
      <c r="K915" s="6"/>
      <c r="L915" s="6"/>
      <c r="AZ915" s="4"/>
    </row>
    <row r="916" ht="15.75" customHeight="1">
      <c r="A916" s="4"/>
      <c r="B916" s="4"/>
      <c r="D916" s="2"/>
      <c r="F916" s="2"/>
      <c r="G916" s="6"/>
      <c r="H916" s="6"/>
      <c r="I916" s="2"/>
      <c r="K916" s="6"/>
      <c r="L916" s="6"/>
      <c r="AZ916" s="4"/>
    </row>
    <row r="917" ht="15.75" customHeight="1">
      <c r="A917" s="4"/>
      <c r="B917" s="4"/>
      <c r="D917" s="2"/>
      <c r="F917" s="2"/>
      <c r="G917" s="6"/>
      <c r="H917" s="6"/>
      <c r="I917" s="2"/>
      <c r="K917" s="6"/>
      <c r="L917" s="6"/>
      <c r="AZ917" s="4"/>
    </row>
    <row r="918" ht="15.75" customHeight="1">
      <c r="A918" s="4"/>
      <c r="B918" s="4"/>
      <c r="D918" s="2"/>
      <c r="F918" s="2"/>
      <c r="G918" s="6"/>
      <c r="H918" s="6"/>
      <c r="I918" s="2"/>
      <c r="K918" s="6"/>
      <c r="L918" s="6"/>
      <c r="AZ918" s="4"/>
    </row>
    <row r="919" ht="15.75" customHeight="1">
      <c r="A919" s="4"/>
      <c r="B919" s="4"/>
      <c r="D919" s="2"/>
      <c r="F919" s="2"/>
      <c r="G919" s="6"/>
      <c r="H919" s="6"/>
      <c r="I919" s="2"/>
      <c r="K919" s="6"/>
      <c r="L919" s="6"/>
      <c r="AZ919" s="4"/>
    </row>
    <row r="920" ht="15.75" customHeight="1">
      <c r="A920" s="4"/>
      <c r="B920" s="4"/>
      <c r="D920" s="2"/>
      <c r="F920" s="2"/>
      <c r="G920" s="6"/>
      <c r="H920" s="6"/>
      <c r="I920" s="2"/>
      <c r="K920" s="6"/>
      <c r="L920" s="6"/>
      <c r="AZ920" s="4"/>
    </row>
    <row r="921" ht="15.75" customHeight="1">
      <c r="A921" s="4"/>
      <c r="B921" s="4"/>
      <c r="D921" s="2"/>
      <c r="F921" s="2"/>
      <c r="G921" s="6"/>
      <c r="H921" s="6"/>
      <c r="I921" s="2"/>
      <c r="K921" s="6"/>
      <c r="L921" s="6"/>
      <c r="AZ921" s="4"/>
    </row>
    <row r="922" ht="15.75" customHeight="1">
      <c r="A922" s="4"/>
      <c r="B922" s="4"/>
      <c r="D922" s="2"/>
      <c r="F922" s="2"/>
      <c r="G922" s="6"/>
      <c r="H922" s="6"/>
      <c r="I922" s="2"/>
      <c r="K922" s="6"/>
      <c r="L922" s="6"/>
      <c r="AZ922" s="4"/>
    </row>
    <row r="923" ht="15.75" customHeight="1">
      <c r="A923" s="4"/>
      <c r="B923" s="4"/>
      <c r="D923" s="2"/>
      <c r="F923" s="2"/>
      <c r="G923" s="6"/>
      <c r="H923" s="6"/>
      <c r="I923" s="2"/>
      <c r="K923" s="6"/>
      <c r="L923" s="6"/>
      <c r="AZ923" s="4"/>
    </row>
    <row r="924" ht="15.75" customHeight="1">
      <c r="A924" s="4"/>
      <c r="B924" s="4"/>
      <c r="D924" s="2"/>
      <c r="F924" s="2"/>
      <c r="G924" s="6"/>
      <c r="H924" s="6"/>
      <c r="I924" s="2"/>
      <c r="K924" s="6"/>
      <c r="L924" s="6"/>
      <c r="AZ924" s="4"/>
    </row>
    <row r="925" ht="15.75" customHeight="1">
      <c r="A925" s="4"/>
      <c r="B925" s="4"/>
      <c r="D925" s="2"/>
      <c r="F925" s="2"/>
      <c r="G925" s="6"/>
      <c r="H925" s="6"/>
      <c r="I925" s="2"/>
      <c r="K925" s="6"/>
      <c r="L925" s="6"/>
      <c r="AZ925" s="4"/>
    </row>
    <row r="926" ht="15.75" customHeight="1">
      <c r="A926" s="4"/>
      <c r="B926" s="4"/>
      <c r="D926" s="2"/>
      <c r="F926" s="2"/>
      <c r="G926" s="6"/>
      <c r="H926" s="6"/>
      <c r="I926" s="2"/>
      <c r="K926" s="6"/>
      <c r="L926" s="6"/>
      <c r="AZ926" s="4"/>
    </row>
    <row r="927" ht="15.75" customHeight="1">
      <c r="A927" s="4"/>
      <c r="B927" s="4"/>
      <c r="D927" s="2"/>
      <c r="F927" s="2"/>
      <c r="G927" s="6"/>
      <c r="H927" s="6"/>
      <c r="I927" s="2"/>
      <c r="K927" s="6"/>
      <c r="L927" s="6"/>
      <c r="AZ927" s="4"/>
    </row>
    <row r="928" ht="15.75" customHeight="1">
      <c r="A928" s="4"/>
      <c r="B928" s="4"/>
      <c r="D928" s="2"/>
      <c r="F928" s="2"/>
      <c r="G928" s="6"/>
      <c r="H928" s="6"/>
      <c r="I928" s="2"/>
      <c r="K928" s="6"/>
      <c r="L928" s="6"/>
      <c r="AZ928" s="4"/>
    </row>
    <row r="929" ht="15.75" customHeight="1">
      <c r="A929" s="4"/>
      <c r="B929" s="4"/>
      <c r="D929" s="2"/>
      <c r="F929" s="2"/>
      <c r="G929" s="6"/>
      <c r="H929" s="6"/>
      <c r="I929" s="2"/>
      <c r="K929" s="6"/>
      <c r="L929" s="6"/>
      <c r="AZ929" s="4"/>
    </row>
    <row r="930" ht="15.75" customHeight="1">
      <c r="A930" s="4"/>
      <c r="B930" s="4"/>
      <c r="D930" s="2"/>
      <c r="F930" s="2"/>
      <c r="G930" s="6"/>
      <c r="H930" s="6"/>
      <c r="I930" s="2"/>
      <c r="K930" s="6"/>
      <c r="L930" s="6"/>
      <c r="AZ930" s="4"/>
    </row>
    <row r="931" ht="15.75" customHeight="1">
      <c r="A931" s="4"/>
      <c r="B931" s="4"/>
      <c r="D931" s="2"/>
      <c r="F931" s="2"/>
      <c r="G931" s="6"/>
      <c r="H931" s="6"/>
      <c r="I931" s="2"/>
      <c r="K931" s="6"/>
      <c r="L931" s="6"/>
      <c r="AZ931" s="4"/>
    </row>
    <row r="932" ht="15.75" customHeight="1">
      <c r="A932" s="4"/>
      <c r="B932" s="4"/>
      <c r="D932" s="2"/>
      <c r="F932" s="2"/>
      <c r="G932" s="6"/>
      <c r="H932" s="6"/>
      <c r="I932" s="2"/>
      <c r="K932" s="6"/>
      <c r="L932" s="6"/>
      <c r="AZ932" s="4"/>
    </row>
    <row r="933" ht="15.75" customHeight="1">
      <c r="A933" s="4"/>
      <c r="B933" s="4"/>
      <c r="D933" s="2"/>
      <c r="F933" s="2"/>
      <c r="G933" s="6"/>
      <c r="H933" s="6"/>
      <c r="I933" s="2"/>
      <c r="K933" s="6"/>
      <c r="L933" s="6"/>
      <c r="AZ933" s="4"/>
    </row>
    <row r="934" ht="15.75" customHeight="1">
      <c r="A934" s="4"/>
      <c r="B934" s="4"/>
      <c r="D934" s="2"/>
      <c r="F934" s="2"/>
      <c r="G934" s="6"/>
      <c r="H934" s="6"/>
      <c r="I934" s="2"/>
      <c r="K934" s="6"/>
      <c r="L934" s="6"/>
      <c r="AZ934" s="4"/>
    </row>
    <row r="935" ht="15.75" customHeight="1">
      <c r="A935" s="4"/>
      <c r="B935" s="4"/>
      <c r="D935" s="2"/>
      <c r="F935" s="2"/>
      <c r="G935" s="6"/>
      <c r="H935" s="6"/>
      <c r="I935" s="2"/>
      <c r="K935" s="6"/>
      <c r="L935" s="6"/>
      <c r="AZ935" s="4"/>
    </row>
    <row r="936" ht="15.75" customHeight="1">
      <c r="A936" s="4"/>
      <c r="B936" s="4"/>
      <c r="D936" s="2"/>
      <c r="F936" s="2"/>
      <c r="G936" s="6"/>
      <c r="H936" s="6"/>
      <c r="I936" s="2"/>
      <c r="K936" s="6"/>
      <c r="L936" s="6"/>
      <c r="AZ936" s="4"/>
    </row>
    <row r="937" ht="15.75" customHeight="1">
      <c r="A937" s="4"/>
      <c r="B937" s="4"/>
      <c r="D937" s="2"/>
      <c r="F937" s="2"/>
      <c r="G937" s="6"/>
      <c r="H937" s="6"/>
      <c r="I937" s="2"/>
      <c r="K937" s="6"/>
      <c r="L937" s="6"/>
      <c r="AZ937" s="4"/>
    </row>
    <row r="938" ht="15.75" customHeight="1">
      <c r="A938" s="4"/>
      <c r="B938" s="4"/>
      <c r="D938" s="2"/>
      <c r="F938" s="2"/>
      <c r="G938" s="6"/>
      <c r="H938" s="6"/>
      <c r="I938" s="2"/>
      <c r="K938" s="6"/>
      <c r="L938" s="6"/>
      <c r="AZ938" s="4"/>
    </row>
    <row r="939" ht="15.75" customHeight="1">
      <c r="A939" s="4"/>
      <c r="B939" s="4"/>
      <c r="D939" s="2"/>
      <c r="F939" s="2"/>
      <c r="G939" s="6"/>
      <c r="H939" s="6"/>
      <c r="I939" s="2"/>
      <c r="K939" s="6"/>
      <c r="L939" s="6"/>
      <c r="AZ939" s="4"/>
    </row>
    <row r="940" ht="15.75" customHeight="1">
      <c r="A940" s="4"/>
      <c r="B940" s="4"/>
      <c r="D940" s="2"/>
      <c r="F940" s="2"/>
      <c r="G940" s="6"/>
      <c r="H940" s="6"/>
      <c r="I940" s="2"/>
      <c r="K940" s="6"/>
      <c r="L940" s="6"/>
      <c r="AZ940" s="4"/>
    </row>
    <row r="941" ht="15.75" customHeight="1">
      <c r="A941" s="4"/>
      <c r="B941" s="4"/>
      <c r="D941" s="2"/>
      <c r="F941" s="2"/>
      <c r="G941" s="6"/>
      <c r="H941" s="6"/>
      <c r="I941" s="2"/>
      <c r="K941" s="6"/>
      <c r="L941" s="6"/>
      <c r="AZ941" s="4"/>
    </row>
    <row r="942" ht="15.75" customHeight="1">
      <c r="A942" s="4"/>
      <c r="B942" s="4"/>
      <c r="D942" s="2"/>
      <c r="F942" s="2"/>
      <c r="G942" s="6"/>
      <c r="H942" s="6"/>
      <c r="I942" s="2"/>
      <c r="K942" s="6"/>
      <c r="L942" s="6"/>
      <c r="AZ942" s="4"/>
    </row>
    <row r="943" ht="15.75" customHeight="1">
      <c r="A943" s="4"/>
      <c r="B943" s="4"/>
      <c r="D943" s="2"/>
      <c r="F943" s="2"/>
      <c r="G943" s="6"/>
      <c r="H943" s="6"/>
      <c r="I943" s="2"/>
      <c r="K943" s="6"/>
      <c r="L943" s="6"/>
      <c r="AZ943" s="4"/>
    </row>
    <row r="944" ht="15.75" customHeight="1">
      <c r="A944" s="4"/>
      <c r="B944" s="4"/>
      <c r="D944" s="2"/>
      <c r="F944" s="2"/>
      <c r="G944" s="6"/>
      <c r="H944" s="6"/>
      <c r="I944" s="2"/>
      <c r="K944" s="6"/>
      <c r="L944" s="6"/>
      <c r="AZ944" s="4"/>
    </row>
    <row r="945" ht="15.75" customHeight="1">
      <c r="A945" s="4"/>
      <c r="B945" s="4"/>
      <c r="D945" s="2"/>
      <c r="F945" s="2"/>
      <c r="G945" s="6"/>
      <c r="H945" s="6"/>
      <c r="I945" s="2"/>
      <c r="K945" s="6"/>
      <c r="L945" s="6"/>
      <c r="AZ945" s="4"/>
    </row>
    <row r="946" ht="15.75" customHeight="1">
      <c r="A946" s="4"/>
      <c r="B946" s="4"/>
      <c r="D946" s="2"/>
      <c r="F946" s="2"/>
      <c r="G946" s="6"/>
      <c r="H946" s="6"/>
      <c r="I946" s="2"/>
      <c r="K946" s="6"/>
      <c r="L946" s="6"/>
      <c r="AZ946" s="4"/>
    </row>
    <row r="947" ht="15.75" customHeight="1">
      <c r="A947" s="4"/>
      <c r="B947" s="4"/>
      <c r="D947" s="2"/>
      <c r="F947" s="2"/>
      <c r="G947" s="6"/>
      <c r="H947" s="6"/>
      <c r="I947" s="2"/>
      <c r="K947" s="6"/>
      <c r="L947" s="6"/>
      <c r="AZ947" s="4"/>
    </row>
    <row r="948" ht="15.75" customHeight="1">
      <c r="A948" s="4"/>
      <c r="B948" s="4"/>
      <c r="D948" s="2"/>
      <c r="F948" s="2"/>
      <c r="G948" s="6"/>
      <c r="H948" s="6"/>
      <c r="I948" s="2"/>
      <c r="K948" s="6"/>
      <c r="L948" s="6"/>
      <c r="AZ948" s="4"/>
    </row>
    <row r="949" ht="15.75" customHeight="1">
      <c r="A949" s="4"/>
      <c r="B949" s="4"/>
      <c r="D949" s="2"/>
      <c r="F949" s="2"/>
      <c r="G949" s="6"/>
      <c r="H949" s="6"/>
      <c r="I949" s="2"/>
      <c r="K949" s="6"/>
      <c r="L949" s="6"/>
      <c r="AZ949" s="4"/>
    </row>
    <row r="950" ht="15.75" customHeight="1">
      <c r="A950" s="4"/>
      <c r="B950" s="4"/>
      <c r="D950" s="2"/>
      <c r="F950" s="2"/>
      <c r="G950" s="6"/>
      <c r="H950" s="6"/>
      <c r="I950" s="2"/>
      <c r="K950" s="6"/>
      <c r="L950" s="6"/>
      <c r="AZ950" s="4"/>
    </row>
    <row r="951" ht="15.75" customHeight="1">
      <c r="A951" s="4"/>
      <c r="B951" s="4"/>
      <c r="D951" s="2"/>
      <c r="F951" s="2"/>
      <c r="G951" s="6"/>
      <c r="H951" s="6"/>
      <c r="I951" s="2"/>
      <c r="K951" s="6"/>
      <c r="L951" s="6"/>
      <c r="AZ951" s="4"/>
    </row>
    <row r="952" ht="15.75" customHeight="1">
      <c r="A952" s="4"/>
      <c r="B952" s="4"/>
      <c r="D952" s="2"/>
      <c r="F952" s="2"/>
      <c r="G952" s="6"/>
      <c r="H952" s="6"/>
      <c r="I952" s="2"/>
      <c r="K952" s="6"/>
      <c r="L952" s="6"/>
      <c r="AZ952" s="4"/>
    </row>
    <row r="953" ht="15.75" customHeight="1">
      <c r="A953" s="4"/>
      <c r="B953" s="4"/>
      <c r="D953" s="2"/>
      <c r="F953" s="2"/>
      <c r="G953" s="6"/>
      <c r="H953" s="6"/>
      <c r="I953" s="2"/>
      <c r="K953" s="6"/>
      <c r="L953" s="6"/>
      <c r="AZ953" s="4"/>
    </row>
    <row r="954" ht="15.75" customHeight="1">
      <c r="A954" s="4"/>
      <c r="B954" s="4"/>
      <c r="D954" s="2"/>
      <c r="F954" s="2"/>
      <c r="G954" s="6"/>
      <c r="H954" s="6"/>
      <c r="I954" s="2"/>
      <c r="K954" s="6"/>
      <c r="L954" s="6"/>
      <c r="AZ954" s="4"/>
    </row>
    <row r="955" ht="15.75" customHeight="1">
      <c r="A955" s="4"/>
      <c r="B955" s="4"/>
      <c r="D955" s="2"/>
      <c r="F955" s="2"/>
      <c r="G955" s="6"/>
      <c r="H955" s="6"/>
      <c r="I955" s="2"/>
      <c r="K955" s="6"/>
      <c r="L955" s="6"/>
      <c r="AZ955" s="4"/>
    </row>
    <row r="956" ht="15.75" customHeight="1">
      <c r="A956" s="4"/>
      <c r="B956" s="4"/>
      <c r="D956" s="2"/>
      <c r="F956" s="2"/>
      <c r="G956" s="6"/>
      <c r="H956" s="6"/>
      <c r="I956" s="2"/>
      <c r="K956" s="6"/>
      <c r="L956" s="6"/>
      <c r="AZ956" s="4"/>
    </row>
    <row r="957" ht="15.75" customHeight="1">
      <c r="A957" s="4"/>
      <c r="B957" s="4"/>
      <c r="D957" s="2"/>
      <c r="F957" s="2"/>
      <c r="G957" s="6"/>
      <c r="H957" s="6"/>
      <c r="I957" s="2"/>
      <c r="K957" s="6"/>
      <c r="L957" s="6"/>
      <c r="AZ957" s="4"/>
    </row>
    <row r="958" ht="15.75" customHeight="1">
      <c r="A958" s="4"/>
      <c r="B958" s="4"/>
      <c r="D958" s="2"/>
      <c r="F958" s="2"/>
      <c r="G958" s="6"/>
      <c r="H958" s="6"/>
      <c r="I958" s="2"/>
      <c r="K958" s="6"/>
      <c r="L958" s="6"/>
      <c r="AZ958" s="4"/>
    </row>
    <row r="959" ht="15.75" customHeight="1">
      <c r="A959" s="4"/>
      <c r="B959" s="4"/>
      <c r="D959" s="2"/>
      <c r="F959" s="2"/>
      <c r="G959" s="6"/>
      <c r="H959" s="6"/>
      <c r="I959" s="2"/>
      <c r="K959" s="6"/>
      <c r="L959" s="6"/>
      <c r="AZ959" s="4"/>
    </row>
    <row r="960" ht="15.75" customHeight="1">
      <c r="A960" s="4"/>
      <c r="B960" s="4"/>
      <c r="D960" s="2"/>
      <c r="F960" s="2"/>
      <c r="G960" s="6"/>
      <c r="H960" s="6"/>
      <c r="I960" s="2"/>
      <c r="K960" s="6"/>
      <c r="L960" s="6"/>
      <c r="AZ960" s="4"/>
    </row>
    <row r="961" ht="15.75" customHeight="1">
      <c r="A961" s="4"/>
      <c r="B961" s="4"/>
      <c r="D961" s="2"/>
      <c r="F961" s="2"/>
      <c r="G961" s="6"/>
      <c r="H961" s="6"/>
      <c r="I961" s="2"/>
      <c r="K961" s="6"/>
      <c r="L961" s="6"/>
      <c r="AZ961" s="4"/>
    </row>
    <row r="962" ht="15.75" customHeight="1">
      <c r="A962" s="4"/>
      <c r="B962" s="4"/>
      <c r="D962" s="2"/>
      <c r="F962" s="2"/>
      <c r="G962" s="6"/>
      <c r="H962" s="6"/>
      <c r="I962" s="2"/>
      <c r="K962" s="6"/>
      <c r="L962" s="6"/>
      <c r="AZ962" s="4"/>
    </row>
    <row r="963" ht="15.75" customHeight="1">
      <c r="A963" s="4"/>
      <c r="B963" s="4"/>
      <c r="D963" s="2"/>
      <c r="F963" s="2"/>
      <c r="G963" s="6"/>
      <c r="H963" s="6"/>
      <c r="I963" s="2"/>
      <c r="K963" s="6"/>
      <c r="L963" s="6"/>
      <c r="AZ963" s="4"/>
    </row>
    <row r="964" ht="15.75" customHeight="1">
      <c r="A964" s="4"/>
      <c r="B964" s="4"/>
      <c r="D964" s="2"/>
      <c r="F964" s="2"/>
      <c r="G964" s="6"/>
      <c r="H964" s="6"/>
      <c r="I964" s="2"/>
      <c r="K964" s="6"/>
      <c r="L964" s="6"/>
      <c r="AZ964" s="4"/>
    </row>
    <row r="965" ht="15.75" customHeight="1">
      <c r="A965" s="4"/>
      <c r="B965" s="4"/>
      <c r="D965" s="2"/>
      <c r="F965" s="2"/>
      <c r="G965" s="6"/>
      <c r="H965" s="6"/>
      <c r="I965" s="2"/>
      <c r="K965" s="6"/>
      <c r="L965" s="6"/>
      <c r="AZ965" s="4"/>
    </row>
    <row r="966" ht="15.75" customHeight="1">
      <c r="A966" s="4"/>
      <c r="B966" s="4"/>
      <c r="D966" s="2"/>
      <c r="F966" s="2"/>
      <c r="G966" s="6"/>
      <c r="H966" s="6"/>
      <c r="I966" s="2"/>
      <c r="K966" s="6"/>
      <c r="L966" s="6"/>
      <c r="AZ966" s="4"/>
    </row>
    <row r="967" ht="15.75" customHeight="1">
      <c r="A967" s="4"/>
      <c r="B967" s="4"/>
      <c r="D967" s="2"/>
      <c r="F967" s="2"/>
      <c r="G967" s="6"/>
      <c r="H967" s="6"/>
      <c r="I967" s="2"/>
      <c r="K967" s="6"/>
      <c r="L967" s="6"/>
      <c r="AZ967" s="4"/>
    </row>
    <row r="968" ht="15.75" customHeight="1">
      <c r="A968" s="4"/>
      <c r="B968" s="4"/>
      <c r="D968" s="2"/>
      <c r="F968" s="2"/>
      <c r="G968" s="6"/>
      <c r="H968" s="6"/>
      <c r="I968" s="2"/>
      <c r="K968" s="6"/>
      <c r="L968" s="6"/>
      <c r="AZ968" s="4"/>
    </row>
    <row r="969" ht="15.75" customHeight="1">
      <c r="A969" s="4"/>
      <c r="B969" s="4"/>
      <c r="D969" s="2"/>
      <c r="F969" s="2"/>
      <c r="G969" s="6"/>
      <c r="H969" s="6"/>
      <c r="I969" s="2"/>
      <c r="K969" s="6"/>
      <c r="L969" s="6"/>
      <c r="AZ969" s="4"/>
    </row>
    <row r="970" ht="15.75" customHeight="1">
      <c r="A970" s="4"/>
      <c r="B970" s="4"/>
      <c r="D970" s="2"/>
      <c r="F970" s="2"/>
      <c r="G970" s="6"/>
      <c r="H970" s="6"/>
      <c r="I970" s="2"/>
      <c r="K970" s="6"/>
      <c r="L970" s="6"/>
      <c r="AZ970" s="4"/>
    </row>
    <row r="971" ht="15.75" customHeight="1">
      <c r="A971" s="4"/>
      <c r="B971" s="4"/>
      <c r="D971" s="2"/>
      <c r="F971" s="2"/>
      <c r="G971" s="6"/>
      <c r="H971" s="6"/>
      <c r="I971" s="2"/>
      <c r="K971" s="6"/>
      <c r="L971" s="6"/>
      <c r="AZ971" s="4"/>
    </row>
    <row r="972" ht="15.75" customHeight="1">
      <c r="A972" s="4"/>
      <c r="B972" s="4"/>
      <c r="D972" s="2"/>
      <c r="F972" s="2"/>
      <c r="G972" s="6"/>
      <c r="H972" s="6"/>
      <c r="I972" s="2"/>
      <c r="K972" s="6"/>
      <c r="L972" s="6"/>
      <c r="AZ972" s="4"/>
    </row>
    <row r="973" ht="15.75" customHeight="1">
      <c r="A973" s="4"/>
      <c r="B973" s="4"/>
      <c r="D973" s="2"/>
      <c r="F973" s="2"/>
      <c r="G973" s="6"/>
      <c r="H973" s="6"/>
      <c r="I973" s="2"/>
      <c r="K973" s="6"/>
      <c r="L973" s="6"/>
      <c r="AZ973" s="4"/>
    </row>
    <row r="974" ht="15.75" customHeight="1">
      <c r="A974" s="4"/>
      <c r="B974" s="4"/>
      <c r="D974" s="2"/>
      <c r="F974" s="2"/>
      <c r="G974" s="6"/>
      <c r="H974" s="6"/>
      <c r="I974" s="2"/>
      <c r="K974" s="6"/>
      <c r="L974" s="6"/>
      <c r="AZ974" s="4"/>
    </row>
    <row r="975" ht="15.75" customHeight="1">
      <c r="A975" s="4"/>
      <c r="B975" s="4"/>
      <c r="D975" s="2"/>
      <c r="F975" s="2"/>
      <c r="G975" s="6"/>
      <c r="H975" s="6"/>
      <c r="I975" s="2"/>
      <c r="K975" s="6"/>
      <c r="L975" s="6"/>
      <c r="AZ975" s="4"/>
    </row>
    <row r="976" ht="15.75" customHeight="1">
      <c r="A976" s="4"/>
      <c r="B976" s="4"/>
      <c r="D976" s="2"/>
      <c r="F976" s="2"/>
      <c r="G976" s="6"/>
      <c r="H976" s="6"/>
      <c r="I976" s="2"/>
      <c r="K976" s="6"/>
      <c r="L976" s="6"/>
      <c r="AZ976" s="4"/>
    </row>
    <row r="977" ht="15.75" customHeight="1">
      <c r="A977" s="4"/>
      <c r="B977" s="4"/>
      <c r="D977" s="2"/>
      <c r="F977" s="2"/>
      <c r="G977" s="6"/>
      <c r="H977" s="6"/>
      <c r="I977" s="2"/>
      <c r="K977" s="6"/>
      <c r="L977" s="6"/>
      <c r="AZ977" s="4"/>
    </row>
    <row r="978" ht="15.75" customHeight="1">
      <c r="A978" s="4"/>
      <c r="B978" s="4"/>
      <c r="D978" s="2"/>
      <c r="F978" s="2"/>
      <c r="G978" s="6"/>
      <c r="H978" s="6"/>
      <c r="I978" s="2"/>
      <c r="K978" s="6"/>
      <c r="L978" s="6"/>
      <c r="AZ978" s="4"/>
    </row>
    <row r="979" ht="15.75" customHeight="1">
      <c r="A979" s="4"/>
      <c r="B979" s="4"/>
      <c r="D979" s="2"/>
      <c r="F979" s="2"/>
      <c r="G979" s="6"/>
      <c r="H979" s="6"/>
      <c r="I979" s="2"/>
      <c r="K979" s="6"/>
      <c r="L979" s="6"/>
      <c r="AZ979" s="4"/>
    </row>
    <row r="980" ht="15.75" customHeight="1">
      <c r="A980" s="4"/>
      <c r="B980" s="4"/>
      <c r="D980" s="2"/>
      <c r="F980" s="2"/>
      <c r="G980" s="6"/>
      <c r="H980" s="6"/>
      <c r="I980" s="2"/>
      <c r="K980" s="6"/>
      <c r="L980" s="6"/>
      <c r="AZ980" s="4"/>
    </row>
    <row r="981" ht="15.75" customHeight="1">
      <c r="A981" s="4"/>
      <c r="B981" s="4"/>
      <c r="D981" s="2"/>
      <c r="F981" s="2"/>
      <c r="G981" s="6"/>
      <c r="H981" s="6"/>
      <c r="I981" s="2"/>
      <c r="K981" s="6"/>
      <c r="L981" s="6"/>
      <c r="AZ981" s="4"/>
    </row>
    <row r="982" ht="15.75" customHeight="1">
      <c r="A982" s="4"/>
      <c r="B982" s="4"/>
      <c r="D982" s="2"/>
      <c r="F982" s="2"/>
      <c r="G982" s="6"/>
      <c r="H982" s="6"/>
      <c r="I982" s="2"/>
      <c r="K982" s="6"/>
      <c r="L982" s="6"/>
      <c r="AZ982" s="4"/>
    </row>
    <row r="983" ht="15.75" customHeight="1">
      <c r="A983" s="4"/>
      <c r="B983" s="4"/>
      <c r="D983" s="2"/>
      <c r="F983" s="2"/>
      <c r="G983" s="6"/>
      <c r="H983" s="6"/>
      <c r="I983" s="2"/>
      <c r="K983" s="6"/>
      <c r="L983" s="6"/>
      <c r="AZ983" s="4"/>
    </row>
    <row r="984" ht="15.75" customHeight="1">
      <c r="A984" s="4"/>
      <c r="B984" s="4"/>
      <c r="D984" s="2"/>
      <c r="F984" s="2"/>
      <c r="G984" s="6"/>
      <c r="H984" s="6"/>
      <c r="I984" s="2"/>
      <c r="K984" s="6"/>
      <c r="L984" s="6"/>
      <c r="AZ984" s="4"/>
    </row>
    <row r="985" ht="15.75" customHeight="1">
      <c r="A985" s="4"/>
      <c r="B985" s="4"/>
      <c r="D985" s="2"/>
      <c r="F985" s="2"/>
      <c r="G985" s="6"/>
      <c r="H985" s="6"/>
      <c r="I985" s="2"/>
      <c r="K985" s="6"/>
      <c r="L985" s="6"/>
      <c r="AZ985" s="4"/>
    </row>
    <row r="986" ht="15.75" customHeight="1">
      <c r="A986" s="4"/>
      <c r="B986" s="4"/>
      <c r="D986" s="2"/>
      <c r="F986" s="2"/>
      <c r="G986" s="6"/>
      <c r="H986" s="6"/>
      <c r="I986" s="2"/>
      <c r="K986" s="6"/>
      <c r="L986" s="6"/>
      <c r="AZ986" s="4"/>
    </row>
    <row r="987" ht="15.75" customHeight="1">
      <c r="A987" s="4"/>
      <c r="B987" s="4"/>
      <c r="D987" s="2"/>
      <c r="F987" s="2"/>
      <c r="G987" s="6"/>
      <c r="H987" s="6"/>
      <c r="I987" s="2"/>
      <c r="K987" s="6"/>
      <c r="L987" s="6"/>
      <c r="AZ987" s="4"/>
    </row>
    <row r="988" ht="15.75" customHeight="1">
      <c r="A988" s="4"/>
      <c r="B988" s="4"/>
      <c r="D988" s="2"/>
      <c r="F988" s="2"/>
      <c r="G988" s="6"/>
      <c r="H988" s="6"/>
      <c r="I988" s="2"/>
      <c r="K988" s="6"/>
      <c r="L988" s="6"/>
      <c r="AZ988" s="4"/>
    </row>
    <row r="989" ht="15.75" customHeight="1">
      <c r="A989" s="4"/>
      <c r="B989" s="4"/>
      <c r="D989" s="2"/>
      <c r="F989" s="2"/>
      <c r="G989" s="6"/>
      <c r="H989" s="6"/>
      <c r="I989" s="2"/>
      <c r="K989" s="6"/>
      <c r="L989" s="6"/>
      <c r="AZ989" s="4"/>
    </row>
    <row r="990" ht="15.75" customHeight="1">
      <c r="A990" s="4"/>
      <c r="B990" s="4"/>
      <c r="D990" s="2"/>
      <c r="F990" s="2"/>
      <c r="G990" s="6"/>
      <c r="H990" s="6"/>
      <c r="I990" s="2"/>
      <c r="K990" s="6"/>
      <c r="L990" s="6"/>
      <c r="AZ990" s="4"/>
    </row>
    <row r="991" ht="15.75" customHeight="1">
      <c r="A991" s="4"/>
      <c r="B991" s="4"/>
      <c r="D991" s="2"/>
      <c r="F991" s="2"/>
      <c r="G991" s="6"/>
      <c r="H991" s="6"/>
      <c r="I991" s="2"/>
      <c r="K991" s="6"/>
      <c r="L991" s="6"/>
      <c r="AZ991" s="4"/>
    </row>
    <row r="992" ht="15.75" customHeight="1">
      <c r="A992" s="4"/>
      <c r="B992" s="4"/>
      <c r="D992" s="2"/>
      <c r="F992" s="2"/>
      <c r="G992" s="6"/>
      <c r="H992" s="6"/>
      <c r="I992" s="2"/>
      <c r="K992" s="6"/>
      <c r="L992" s="6"/>
      <c r="AZ992" s="4"/>
    </row>
    <row r="993" ht="15.75" customHeight="1">
      <c r="A993" s="4"/>
      <c r="B993" s="4"/>
      <c r="D993" s="2"/>
      <c r="F993" s="2"/>
      <c r="G993" s="6"/>
      <c r="H993" s="6"/>
      <c r="I993" s="2"/>
      <c r="K993" s="6"/>
      <c r="L993" s="6"/>
      <c r="AZ993" s="4"/>
    </row>
    <row r="994" ht="15.75" customHeight="1">
      <c r="A994" s="4"/>
      <c r="B994" s="4"/>
      <c r="D994" s="2"/>
      <c r="F994" s="2"/>
      <c r="G994" s="6"/>
      <c r="H994" s="6"/>
      <c r="I994" s="2"/>
      <c r="K994" s="6"/>
      <c r="L994" s="6"/>
      <c r="AZ994" s="4"/>
    </row>
    <row r="995" ht="15.75" customHeight="1">
      <c r="A995" s="4"/>
      <c r="B995" s="4"/>
      <c r="D995" s="2"/>
      <c r="F995" s="2"/>
      <c r="G995" s="6"/>
      <c r="H995" s="6"/>
      <c r="I995" s="2"/>
      <c r="K995" s="6"/>
      <c r="L995" s="6"/>
      <c r="AZ995" s="4"/>
    </row>
    <row r="996" ht="15.75" customHeight="1">
      <c r="A996" s="4"/>
      <c r="B996" s="4"/>
      <c r="D996" s="2"/>
      <c r="F996" s="2"/>
      <c r="G996" s="6"/>
      <c r="H996" s="6"/>
      <c r="I996" s="2"/>
      <c r="K996" s="6"/>
      <c r="L996" s="6"/>
      <c r="AZ996" s="4"/>
    </row>
    <row r="997" ht="15.75" customHeight="1">
      <c r="A997" s="4"/>
      <c r="B997" s="4"/>
      <c r="D997" s="2"/>
      <c r="F997" s="2"/>
      <c r="G997" s="6"/>
      <c r="H997" s="6"/>
      <c r="I997" s="2"/>
      <c r="K997" s="6"/>
      <c r="L997" s="6"/>
      <c r="AZ997" s="4"/>
    </row>
    <row r="998" ht="15.75" customHeight="1">
      <c r="A998" s="4"/>
      <c r="B998" s="4"/>
      <c r="D998" s="2"/>
      <c r="F998" s="2"/>
      <c r="G998" s="6"/>
      <c r="H998" s="6"/>
      <c r="I998" s="2"/>
      <c r="K998" s="6"/>
      <c r="L998" s="6"/>
      <c r="AZ998" s="4"/>
    </row>
    <row r="999" ht="15.75" customHeight="1">
      <c r="A999" s="4"/>
      <c r="B999" s="4"/>
      <c r="D999" s="2"/>
      <c r="F999" s="2"/>
      <c r="G999" s="6"/>
      <c r="H999" s="6"/>
      <c r="I999" s="2"/>
      <c r="K999" s="6"/>
      <c r="L999" s="6"/>
      <c r="AZ999" s="4"/>
    </row>
    <row r="1000" ht="15.75" customHeight="1">
      <c r="A1000" s="4"/>
      <c r="B1000" s="4"/>
      <c r="D1000" s="2"/>
      <c r="F1000" s="2"/>
      <c r="G1000" s="6"/>
      <c r="H1000" s="6"/>
      <c r="I1000" s="2"/>
      <c r="K1000" s="6"/>
      <c r="L1000" s="6"/>
      <c r="AZ1000" s="4"/>
    </row>
  </sheetData>
  <autoFilter ref="$A$1:$BN$158"/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5"/>
    <hyperlink r:id="rId38" ref="J45"/>
    <hyperlink r:id="rId39" ref="F46"/>
    <hyperlink r:id="rId40" ref="J46"/>
    <hyperlink r:id="rId41" ref="F47"/>
    <hyperlink r:id="rId42" ref="J47"/>
    <hyperlink r:id="rId43" ref="F48"/>
    <hyperlink r:id="rId44" ref="J48"/>
    <hyperlink r:id="rId45" ref="F49"/>
    <hyperlink r:id="rId46" ref="J49"/>
    <hyperlink r:id="rId47" ref="F50"/>
    <hyperlink r:id="rId48" ref="J50"/>
    <hyperlink r:id="rId49" ref="F51"/>
    <hyperlink r:id="rId50" ref="J51"/>
    <hyperlink r:id="rId51" ref="F52"/>
    <hyperlink r:id="rId52" ref="J52"/>
    <hyperlink r:id="rId53" ref="J55"/>
    <hyperlink r:id="rId54" ref="J56"/>
    <hyperlink r:id="rId55" ref="F60"/>
    <hyperlink r:id="rId56" ref="J60"/>
    <hyperlink r:id="rId57" ref="J61"/>
    <hyperlink r:id="rId58" ref="J63"/>
    <hyperlink r:id="rId59" ref="J64"/>
    <hyperlink r:id="rId60" ref="J65"/>
    <hyperlink r:id="rId61" ref="J66"/>
    <hyperlink r:id="rId62" ref="J67"/>
    <hyperlink r:id="rId63" ref="F68"/>
    <hyperlink r:id="rId64" ref="J68"/>
    <hyperlink r:id="rId65" ref="J69"/>
    <hyperlink r:id="rId66" ref="J70"/>
    <hyperlink r:id="rId67" ref="J74"/>
    <hyperlink r:id="rId68" ref="J75"/>
    <hyperlink r:id="rId69" ref="F76"/>
    <hyperlink r:id="rId70" ref="J76"/>
    <hyperlink r:id="rId71" ref="J84"/>
    <hyperlink r:id="rId72" ref="F88"/>
    <hyperlink r:id="rId73" ref="J91"/>
    <hyperlink r:id="rId74" ref="J92"/>
    <hyperlink r:id="rId75" ref="F95"/>
    <hyperlink r:id="rId76" ref="J95"/>
    <hyperlink r:id="rId77" ref="F98"/>
    <hyperlink r:id="rId78" ref="F101"/>
    <hyperlink r:id="rId79" ref="J101"/>
    <hyperlink r:id="rId80" ref="F102"/>
    <hyperlink r:id="rId81" ref="J102"/>
    <hyperlink r:id="rId82" ref="F103"/>
    <hyperlink r:id="rId83" ref="J103"/>
    <hyperlink r:id="rId84" ref="J104"/>
    <hyperlink r:id="rId85" ref="F105"/>
    <hyperlink r:id="rId86" ref="J105"/>
    <hyperlink r:id="rId87" ref="J106"/>
    <hyperlink r:id="rId88" ref="F113"/>
    <hyperlink r:id="rId89" ref="F114"/>
    <hyperlink r:id="rId90" ref="F117"/>
    <hyperlink r:id="rId91" ref="J117"/>
    <hyperlink r:id="rId92" ref="F118"/>
    <hyperlink r:id="rId93" ref="J118"/>
    <hyperlink r:id="rId94" ref="F119"/>
    <hyperlink r:id="rId95" ref="J119"/>
    <hyperlink r:id="rId96" ref="J122"/>
    <hyperlink r:id="rId97" ref="J123"/>
    <hyperlink r:id="rId98" ref="J137"/>
  </hyperlinks>
  <printOptions/>
  <pageMargins bottom="0.75" footer="0.0" header="0.0" left="0.7" right="0.7" top="0.75"/>
  <pageSetup paperSize="9" orientation="portrait"/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25.63"/>
    <col customWidth="1" min="4" max="26" width="7.63"/>
  </cols>
  <sheetData>
    <row r="1">
      <c r="A1" s="3">
        <v>10.0</v>
      </c>
      <c r="B1" s="5" t="s">
        <v>7</v>
      </c>
      <c r="C1" s="7" t="s">
        <v>8</v>
      </c>
      <c r="D1" s="2" t="s">
        <v>9</v>
      </c>
      <c r="E1" s="3">
        <v>10.0</v>
      </c>
    </row>
    <row r="2">
      <c r="A2" s="3">
        <v>1.0</v>
      </c>
      <c r="B2" s="5" t="s">
        <v>7</v>
      </c>
      <c r="C2" s="7" t="s">
        <v>10</v>
      </c>
      <c r="D2" s="2" t="s">
        <v>9</v>
      </c>
      <c r="E2" s="3">
        <v>1.0</v>
      </c>
    </row>
    <row r="3">
      <c r="A3" s="3">
        <v>0.0</v>
      </c>
      <c r="B3" s="5" t="s">
        <v>7</v>
      </c>
      <c r="C3" s="7" t="s">
        <v>15</v>
      </c>
      <c r="D3" s="2" t="s">
        <v>9</v>
      </c>
      <c r="E3" s="3">
        <v>0.0</v>
      </c>
    </row>
    <row r="4">
      <c r="A4" s="3">
        <v>10.0</v>
      </c>
      <c r="B4" s="5" t="s">
        <v>7</v>
      </c>
      <c r="C4" s="7" t="s">
        <v>15</v>
      </c>
      <c r="D4" s="2" t="s">
        <v>9</v>
      </c>
      <c r="E4" s="3">
        <v>10.0</v>
      </c>
    </row>
    <row r="5">
      <c r="A5" s="3">
        <v>10.0</v>
      </c>
      <c r="B5" s="5" t="s">
        <v>7</v>
      </c>
      <c r="C5" s="7" t="s">
        <v>18</v>
      </c>
      <c r="D5" s="2" t="s">
        <v>9</v>
      </c>
      <c r="E5" s="3">
        <v>10.0</v>
      </c>
    </row>
    <row r="6">
      <c r="A6" s="3">
        <v>22.0</v>
      </c>
      <c r="B6" s="5" t="s">
        <v>7</v>
      </c>
      <c r="C6" s="7" t="s">
        <v>19</v>
      </c>
      <c r="D6" s="2" t="s">
        <v>9</v>
      </c>
      <c r="E6" s="3">
        <v>22.0</v>
      </c>
    </row>
    <row r="7">
      <c r="A7" s="3">
        <v>10.0</v>
      </c>
      <c r="B7" s="5" t="s">
        <v>7</v>
      </c>
      <c r="C7" s="7" t="s">
        <v>20</v>
      </c>
      <c r="D7" s="2" t="s">
        <v>9</v>
      </c>
      <c r="E7" s="3">
        <v>10.0</v>
      </c>
    </row>
    <row r="8">
      <c r="A8" s="3">
        <v>16.0</v>
      </c>
      <c r="B8" s="5" t="s">
        <v>7</v>
      </c>
      <c r="C8" s="7" t="s">
        <v>23</v>
      </c>
      <c r="D8" s="2" t="s">
        <v>9</v>
      </c>
      <c r="E8" s="3">
        <v>16.0</v>
      </c>
    </row>
    <row r="9">
      <c r="A9" s="3">
        <v>1.0</v>
      </c>
      <c r="B9" s="5" t="s">
        <v>7</v>
      </c>
      <c r="C9" s="7" t="s">
        <v>30</v>
      </c>
      <c r="D9" s="2" t="s">
        <v>9</v>
      </c>
      <c r="E9" s="3">
        <v>1.0</v>
      </c>
    </row>
    <row r="10">
      <c r="A10" s="3">
        <v>4.0</v>
      </c>
      <c r="B10" s="5" t="s">
        <v>7</v>
      </c>
      <c r="C10" s="7" t="s">
        <v>44</v>
      </c>
      <c r="D10" s="2" t="s">
        <v>9</v>
      </c>
      <c r="E10" s="3">
        <v>4.0</v>
      </c>
    </row>
    <row r="11">
      <c r="A11" s="3">
        <v>10.0</v>
      </c>
      <c r="B11" s="5" t="s">
        <v>7</v>
      </c>
      <c r="C11" s="7" t="s">
        <v>57</v>
      </c>
      <c r="D11" s="2" t="s">
        <v>9</v>
      </c>
      <c r="E11" s="3">
        <v>10.0</v>
      </c>
    </row>
    <row r="12">
      <c r="A12" s="3">
        <v>1.0</v>
      </c>
      <c r="B12" s="5" t="s">
        <v>7</v>
      </c>
      <c r="C12" s="7" t="s">
        <v>63</v>
      </c>
      <c r="D12" s="2" t="s">
        <v>9</v>
      </c>
      <c r="E12" s="3">
        <v>1.0</v>
      </c>
    </row>
    <row r="13">
      <c r="A13" s="3">
        <v>10.0</v>
      </c>
      <c r="B13" s="5" t="s">
        <v>7</v>
      </c>
      <c r="C13" s="7" t="s">
        <v>64</v>
      </c>
      <c r="D13" s="2" t="s">
        <v>9</v>
      </c>
      <c r="E13" s="3">
        <v>10.0</v>
      </c>
    </row>
    <row r="14">
      <c r="A14" s="3">
        <v>10.0</v>
      </c>
      <c r="B14" s="5" t="s">
        <v>7</v>
      </c>
      <c r="C14" s="7" t="s">
        <v>65</v>
      </c>
      <c r="D14" s="2" t="s">
        <v>9</v>
      </c>
      <c r="E14" s="3">
        <v>10.0</v>
      </c>
    </row>
    <row r="15">
      <c r="A15" s="3">
        <v>1.0</v>
      </c>
      <c r="B15" s="5" t="s">
        <v>7</v>
      </c>
      <c r="C15" s="7" t="s">
        <v>66</v>
      </c>
      <c r="D15" s="2" t="s">
        <v>9</v>
      </c>
      <c r="E15" s="3">
        <v>1.0</v>
      </c>
    </row>
    <row r="16">
      <c r="A16" s="3">
        <v>2.0</v>
      </c>
      <c r="B16" s="5" t="s">
        <v>7</v>
      </c>
      <c r="C16" s="7" t="s">
        <v>69</v>
      </c>
      <c r="D16" s="2" t="s">
        <v>9</v>
      </c>
      <c r="E16" s="3">
        <v>2.0</v>
      </c>
    </row>
    <row r="17">
      <c r="A17" s="3">
        <v>3.0</v>
      </c>
      <c r="B17" s="5" t="s">
        <v>7</v>
      </c>
      <c r="C17" s="7" t="s">
        <v>70</v>
      </c>
      <c r="D17" s="2" t="s">
        <v>9</v>
      </c>
      <c r="E17" s="3">
        <v>3.0</v>
      </c>
    </row>
    <row r="18">
      <c r="A18" s="3">
        <v>11.0</v>
      </c>
      <c r="B18" s="5" t="s">
        <v>7</v>
      </c>
      <c r="C18" s="7" t="s">
        <v>71</v>
      </c>
      <c r="D18" s="2" t="s">
        <v>9</v>
      </c>
      <c r="E18" s="3">
        <v>11.0</v>
      </c>
    </row>
    <row r="19">
      <c r="A19" s="3">
        <v>2.0</v>
      </c>
      <c r="B19" s="5" t="s">
        <v>7</v>
      </c>
      <c r="C19" s="7" t="s">
        <v>73</v>
      </c>
      <c r="D19" s="2" t="s">
        <v>9</v>
      </c>
      <c r="E19" s="3">
        <v>2.0</v>
      </c>
    </row>
    <row r="20">
      <c r="A20" s="3">
        <v>4.0</v>
      </c>
      <c r="B20" s="5" t="s">
        <v>7</v>
      </c>
      <c r="C20" s="7" t="s">
        <v>75</v>
      </c>
      <c r="D20" s="2" t="s">
        <v>9</v>
      </c>
      <c r="E20" s="3">
        <v>4.0</v>
      </c>
    </row>
    <row r="21" ht="15.75" customHeight="1">
      <c r="A21" s="3">
        <v>10.0</v>
      </c>
      <c r="B21" s="5" t="s">
        <v>7</v>
      </c>
      <c r="C21" s="7" t="s">
        <v>76</v>
      </c>
      <c r="D21" s="2" t="s">
        <v>9</v>
      </c>
      <c r="E21" s="3">
        <v>10.0</v>
      </c>
    </row>
    <row r="22" ht="15.75" customHeight="1">
      <c r="A22" s="3">
        <v>4.0</v>
      </c>
      <c r="B22" s="5" t="s">
        <v>7</v>
      </c>
      <c r="C22" s="7" t="s">
        <v>79</v>
      </c>
      <c r="D22" s="2" t="s">
        <v>9</v>
      </c>
      <c r="E22" s="3">
        <v>4.0</v>
      </c>
    </row>
    <row r="23" ht="15.75" customHeight="1">
      <c r="A23" s="3">
        <v>3.0</v>
      </c>
      <c r="B23" s="5" t="s">
        <v>7</v>
      </c>
      <c r="C23" s="7" t="s">
        <v>82</v>
      </c>
      <c r="D23" s="2" t="s">
        <v>9</v>
      </c>
      <c r="E23" s="3">
        <v>3.0</v>
      </c>
    </row>
    <row r="24" ht="15.75" customHeight="1">
      <c r="A24" s="3">
        <v>53.0</v>
      </c>
      <c r="B24" s="5" t="s">
        <v>7</v>
      </c>
      <c r="C24" s="7" t="s">
        <v>86</v>
      </c>
      <c r="D24" s="2" t="s">
        <v>9</v>
      </c>
      <c r="E24" s="3">
        <v>53.0</v>
      </c>
    </row>
    <row r="25" ht="15.75" customHeight="1">
      <c r="A25" s="3">
        <v>1.0</v>
      </c>
      <c r="B25" s="5" t="s">
        <v>7</v>
      </c>
      <c r="C25" s="7" t="s">
        <v>95</v>
      </c>
      <c r="D25" s="2" t="s">
        <v>9</v>
      </c>
      <c r="E25" s="3">
        <v>1.0</v>
      </c>
    </row>
    <row r="26" ht="15.75" customHeight="1">
      <c r="A26" s="3">
        <v>1.0</v>
      </c>
      <c r="B26" s="5" t="s">
        <v>7</v>
      </c>
      <c r="C26" s="7" t="s">
        <v>105</v>
      </c>
      <c r="D26" s="2" t="s">
        <v>9</v>
      </c>
      <c r="E26" s="3">
        <v>1.0</v>
      </c>
    </row>
    <row r="27" ht="15.75" customHeight="1">
      <c r="A27" s="3">
        <v>4.0</v>
      </c>
      <c r="B27" s="5" t="s">
        <v>7</v>
      </c>
      <c r="C27" s="7" t="s">
        <v>113</v>
      </c>
      <c r="D27" s="2" t="s">
        <v>9</v>
      </c>
      <c r="E27" s="3">
        <v>4.0</v>
      </c>
    </row>
    <row r="28" ht="15.75" customHeight="1">
      <c r="A28" s="3">
        <v>19.0</v>
      </c>
      <c r="B28" s="5" t="s">
        <v>7</v>
      </c>
      <c r="C28" s="5" t="s">
        <v>116</v>
      </c>
      <c r="D28" s="2" t="s">
        <v>9</v>
      </c>
      <c r="E28" s="3">
        <v>19.0</v>
      </c>
    </row>
    <row r="29" ht="15.75" customHeight="1">
      <c r="A29" s="3">
        <v>1.0</v>
      </c>
      <c r="B29" s="5" t="s">
        <v>7</v>
      </c>
      <c r="C29" s="7" t="s">
        <v>118</v>
      </c>
      <c r="D29" s="2" t="s">
        <v>9</v>
      </c>
      <c r="E29" s="3">
        <v>1.0</v>
      </c>
    </row>
    <row r="30" ht="15.75" customHeight="1">
      <c r="A30" s="3">
        <v>1.0</v>
      </c>
      <c r="B30" s="5" t="s">
        <v>7</v>
      </c>
      <c r="C30" s="7" t="s">
        <v>121</v>
      </c>
      <c r="D30" s="2" t="s">
        <v>9</v>
      </c>
      <c r="E30" s="3">
        <v>1.0</v>
      </c>
    </row>
    <row r="31" ht="15.75" customHeight="1">
      <c r="A31" s="3">
        <v>1.0</v>
      </c>
      <c r="B31" s="5" t="s">
        <v>7</v>
      </c>
      <c r="C31" s="7" t="s">
        <v>123</v>
      </c>
      <c r="D31" s="2" t="s">
        <v>9</v>
      </c>
      <c r="E31" s="3">
        <v>1.0</v>
      </c>
    </row>
    <row r="32" ht="15.75" customHeight="1">
      <c r="A32" s="3">
        <v>10.0</v>
      </c>
      <c r="B32" s="5" t="s">
        <v>7</v>
      </c>
      <c r="C32" s="7" t="s">
        <v>126</v>
      </c>
      <c r="D32" s="2" t="s">
        <v>9</v>
      </c>
      <c r="E32" s="3">
        <v>10.0</v>
      </c>
    </row>
    <row r="33" ht="15.75" customHeight="1">
      <c r="A33" s="3">
        <v>1.0</v>
      </c>
      <c r="B33" s="5" t="s">
        <v>7</v>
      </c>
      <c r="C33" s="7" t="s">
        <v>129</v>
      </c>
      <c r="D33" s="2" t="s">
        <v>9</v>
      </c>
      <c r="E33" s="3">
        <v>1.0</v>
      </c>
    </row>
    <row r="34" ht="15.75" customHeight="1">
      <c r="A34" s="3">
        <v>5.0</v>
      </c>
      <c r="B34" s="5" t="s">
        <v>7</v>
      </c>
      <c r="C34" s="7" t="s">
        <v>132</v>
      </c>
      <c r="D34" s="2" t="s">
        <v>9</v>
      </c>
      <c r="E34" s="3">
        <v>5.0</v>
      </c>
    </row>
    <row r="35" ht="15.75" customHeight="1">
      <c r="A35" s="3">
        <v>1.0</v>
      </c>
      <c r="B35" s="5" t="s">
        <v>7</v>
      </c>
      <c r="C35" s="7" t="s">
        <v>133</v>
      </c>
      <c r="D35" s="2" t="s">
        <v>9</v>
      </c>
      <c r="E35" s="3">
        <v>1.0</v>
      </c>
    </row>
    <row r="36" ht="15.75" customHeight="1">
      <c r="A36" s="3">
        <v>1.0</v>
      </c>
      <c r="B36" s="5" t="s">
        <v>7</v>
      </c>
      <c r="C36" s="7" t="s">
        <v>137</v>
      </c>
      <c r="D36" s="2" t="s">
        <v>9</v>
      </c>
      <c r="E36" s="3">
        <v>1.0</v>
      </c>
    </row>
    <row r="37" ht="15.75" customHeight="1">
      <c r="A37" s="3">
        <v>1.0</v>
      </c>
      <c r="B37" s="5" t="s">
        <v>7</v>
      </c>
      <c r="C37" s="7" t="s">
        <v>140</v>
      </c>
      <c r="D37" s="2" t="s">
        <v>9</v>
      </c>
      <c r="E37" s="3">
        <v>1.0</v>
      </c>
    </row>
    <row r="38" ht="15.75" customHeight="1">
      <c r="A38" s="3">
        <v>1.0</v>
      </c>
      <c r="B38" s="5" t="s">
        <v>7</v>
      </c>
      <c r="C38" s="7" t="s">
        <v>146</v>
      </c>
      <c r="D38" s="2" t="s">
        <v>9</v>
      </c>
      <c r="E38" s="3">
        <v>1.0</v>
      </c>
    </row>
    <row r="39" ht="15.75" customHeight="1">
      <c r="A39" s="3">
        <v>2.0</v>
      </c>
      <c r="B39" s="5" t="s">
        <v>7</v>
      </c>
      <c r="C39" s="7" t="s">
        <v>150</v>
      </c>
      <c r="D39" s="2" t="s">
        <v>9</v>
      </c>
      <c r="E39" s="3">
        <v>2.0</v>
      </c>
    </row>
    <row r="40" ht="15.75" customHeight="1">
      <c r="A40" s="3">
        <v>1.0</v>
      </c>
      <c r="B40" s="5" t="s">
        <v>7</v>
      </c>
      <c r="C40" s="5" t="s">
        <v>153</v>
      </c>
      <c r="D40" s="2" t="s">
        <v>9</v>
      </c>
      <c r="E40" s="3">
        <v>1.0</v>
      </c>
    </row>
    <row r="41" ht="15.75" customHeight="1">
      <c r="A41" s="3">
        <v>21.0</v>
      </c>
      <c r="B41" s="5" t="s">
        <v>7</v>
      </c>
      <c r="C41" s="7" t="s">
        <v>154</v>
      </c>
      <c r="D41" s="2" t="s">
        <v>9</v>
      </c>
      <c r="E41" s="3">
        <v>21.0</v>
      </c>
    </row>
    <row r="42" ht="15.75" customHeight="1">
      <c r="A42" s="3">
        <v>2.0</v>
      </c>
      <c r="B42" s="5" t="s">
        <v>7</v>
      </c>
      <c r="C42" s="5" t="s">
        <v>157</v>
      </c>
      <c r="D42" s="2" t="s">
        <v>9</v>
      </c>
      <c r="E42" s="3">
        <v>2.0</v>
      </c>
    </row>
    <row r="43" ht="15.75" customHeight="1">
      <c r="A43" s="3">
        <v>19.0</v>
      </c>
      <c r="B43" s="5" t="s">
        <v>7</v>
      </c>
      <c r="C43" s="5" t="s">
        <v>160</v>
      </c>
      <c r="D43" s="2" t="s">
        <v>9</v>
      </c>
      <c r="E43" s="3">
        <v>19.0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1"/>
  </hyperlinks>
  <printOptions/>
  <pageMargins bottom="0.75" footer="0.0" header="0.0" left="0.7" right="0.7" top="0.75"/>
  <pageSetup orientation="landscape"/>
  <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>
        <v>4.0</v>
      </c>
      <c r="B1" s="2" t="s">
        <v>0</v>
      </c>
    </row>
    <row r="2">
      <c r="A2" s="1">
        <v>6.0</v>
      </c>
      <c r="B2" s="2" t="s">
        <v>1</v>
      </c>
    </row>
    <row r="3">
      <c r="A3" s="1">
        <v>1.0</v>
      </c>
      <c r="B3" s="2" t="s">
        <v>2</v>
      </c>
    </row>
    <row r="4">
      <c r="A4" s="1">
        <v>3.0</v>
      </c>
      <c r="B4" s="2" t="s">
        <v>3</v>
      </c>
    </row>
    <row r="5">
      <c r="A5" s="1">
        <v>1.0</v>
      </c>
      <c r="B5" s="2" t="s">
        <v>4</v>
      </c>
    </row>
    <row r="6">
      <c r="A6" s="1">
        <v>1.0</v>
      </c>
      <c r="B6" s="1">
        <v>180.0</v>
      </c>
    </row>
    <row r="7">
      <c r="A7" s="1">
        <v>2.0</v>
      </c>
      <c r="B7" s="1">
        <v>560.0</v>
      </c>
    </row>
    <row r="8">
      <c r="A8" s="1">
        <v>3.0</v>
      </c>
      <c r="B8" s="2" t="s">
        <v>5</v>
      </c>
    </row>
    <row r="9">
      <c r="A9" s="1">
        <v>5.0</v>
      </c>
      <c r="B9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2" t="s">
        <v>21</v>
      </c>
    </row>
    <row r="2">
      <c r="A2" s="2" t="s">
        <v>22</v>
      </c>
    </row>
    <row r="3">
      <c r="A3" s="2" t="s">
        <v>24</v>
      </c>
    </row>
    <row r="4">
      <c r="A4" s="2" t="s">
        <v>25</v>
      </c>
    </row>
    <row r="5">
      <c r="A5" s="2" t="s">
        <v>26</v>
      </c>
    </row>
    <row r="6">
      <c r="A6" s="2" t="s">
        <v>27</v>
      </c>
    </row>
    <row r="7">
      <c r="A7" s="2" t="s">
        <v>28</v>
      </c>
    </row>
    <row r="8">
      <c r="A8" s="11" t="s">
        <v>29</v>
      </c>
    </row>
    <row r="9">
      <c r="A9" s="2" t="s">
        <v>31</v>
      </c>
    </row>
    <row r="10">
      <c r="A10" s="2" t="s">
        <v>32</v>
      </c>
    </row>
    <row r="11">
      <c r="A11" s="2" t="s">
        <v>33</v>
      </c>
    </row>
    <row r="12">
      <c r="A12" s="2" t="s">
        <v>34</v>
      </c>
    </row>
    <row r="13">
      <c r="A13" s="2" t="s">
        <v>35</v>
      </c>
    </row>
    <row r="14">
      <c r="A14" s="2" t="s">
        <v>36</v>
      </c>
    </row>
    <row r="15">
      <c r="A15" s="2" t="s">
        <v>37</v>
      </c>
    </row>
    <row r="16">
      <c r="A16" s="2" t="s">
        <v>38</v>
      </c>
    </row>
    <row r="17">
      <c r="A17" s="2" t="s">
        <v>39</v>
      </c>
    </row>
    <row r="18">
      <c r="A18" s="2" t="s">
        <v>40</v>
      </c>
    </row>
    <row r="19">
      <c r="A19" s="2" t="s">
        <v>41</v>
      </c>
    </row>
    <row r="20">
      <c r="A20" s="2" t="s">
        <v>42</v>
      </c>
    </row>
    <row r="21" ht="15.75" customHeight="1">
      <c r="A21" s="2" t="s">
        <v>43</v>
      </c>
    </row>
    <row r="22" ht="15.75" customHeight="1">
      <c r="A22" s="2" t="s">
        <v>45</v>
      </c>
    </row>
    <row r="23" ht="15.75" customHeight="1">
      <c r="A23" s="2" t="s">
        <v>46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49</v>
      </c>
    </row>
    <row r="25" ht="15.75" customHeight="1">
      <c r="A25" s="2" t="s">
        <v>50</v>
      </c>
    </row>
    <row r="26" ht="15.75" customHeight="1">
      <c r="A26" s="2" t="s">
        <v>51</v>
      </c>
    </row>
    <row r="27" ht="15.75" customHeight="1">
      <c r="A27" s="2" t="s">
        <v>52</v>
      </c>
    </row>
    <row r="28" ht="15.75" customHeight="1">
      <c r="A28" s="2" t="s">
        <v>53</v>
      </c>
    </row>
    <row r="29" ht="15.75" customHeight="1">
      <c r="A29" s="2" t="s">
        <v>55</v>
      </c>
    </row>
    <row r="30" ht="15.75" customHeight="1">
      <c r="A30" s="2" t="s">
        <v>56</v>
      </c>
    </row>
    <row r="31" ht="15.75" customHeight="1">
      <c r="A31" s="2" t="s">
        <v>58</v>
      </c>
    </row>
    <row r="32" ht="15.75" customHeight="1">
      <c r="A32" s="2" t="s">
        <v>59</v>
      </c>
    </row>
    <row r="33" ht="15.75" customHeight="1">
      <c r="A33" s="11" t="s">
        <v>60</v>
      </c>
    </row>
    <row r="34" ht="15.75" customHeight="1">
      <c r="A34" s="11" t="s">
        <v>61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20.25"/>
    <col customWidth="1" min="5" max="5" width="21.38"/>
  </cols>
  <sheetData>
    <row r="1">
      <c r="A1" s="17" t="s">
        <v>11</v>
      </c>
      <c r="B1" s="18" t="s">
        <v>78</v>
      </c>
      <c r="C1" s="19" t="s">
        <v>80</v>
      </c>
      <c r="D1" s="19" t="s">
        <v>7</v>
      </c>
      <c r="E1" s="19" t="s">
        <v>54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21">
        <v>10.0</v>
      </c>
      <c r="B2" s="22" t="s">
        <v>83</v>
      </c>
      <c r="C2" s="20" t="s">
        <v>84</v>
      </c>
      <c r="D2" s="23" t="s">
        <v>85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>
      <c r="A3" s="21">
        <v>1.0</v>
      </c>
      <c r="B3" s="25" t="s">
        <v>96</v>
      </c>
      <c r="C3" s="20" t="s">
        <v>84</v>
      </c>
      <c r="D3" s="23" t="s">
        <v>100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21">
        <v>2.0</v>
      </c>
      <c r="B4" s="22" t="s">
        <v>111</v>
      </c>
      <c r="C4" s="20" t="s">
        <v>84</v>
      </c>
      <c r="D4" s="20"/>
      <c r="E4" s="23" t="s">
        <v>112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21">
        <v>10.0</v>
      </c>
      <c r="B5" s="22" t="s">
        <v>114</v>
      </c>
      <c r="C5" s="20" t="s">
        <v>84</v>
      </c>
      <c r="D5" s="23" t="s">
        <v>115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>
      <c r="A6" s="21">
        <v>10.0</v>
      </c>
      <c r="B6" s="22" t="s">
        <v>119</v>
      </c>
      <c r="C6" s="20" t="s">
        <v>84</v>
      </c>
      <c r="D6" s="23" t="s">
        <v>120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>
      <c r="A7" s="21">
        <v>1.0</v>
      </c>
      <c r="B7" s="22" t="s">
        <v>122</v>
      </c>
      <c r="C7" s="20" t="s">
        <v>84</v>
      </c>
      <c r="D7" s="23" t="s">
        <v>124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>
      <c r="A8" s="21">
        <v>2.0</v>
      </c>
      <c r="B8" s="22" t="s">
        <v>127</v>
      </c>
      <c r="C8" s="20" t="s">
        <v>84</v>
      </c>
      <c r="D8" s="23" t="s">
        <v>128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21">
        <v>3.0</v>
      </c>
      <c r="B9" s="22" t="s">
        <v>130</v>
      </c>
      <c r="C9" s="20" t="s">
        <v>84</v>
      </c>
      <c r="D9" s="23" t="s">
        <v>131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>
      <c r="A10" s="21">
        <v>11.0</v>
      </c>
      <c r="B10" s="22" t="s">
        <v>134</v>
      </c>
      <c r="C10" s="20" t="s">
        <v>84</v>
      </c>
      <c r="D10" s="23" t="s">
        <v>135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>
      <c r="A11" s="21">
        <v>2.0</v>
      </c>
      <c r="B11" s="22" t="s">
        <v>138</v>
      </c>
      <c r="C11" s="20" t="s">
        <v>84</v>
      </c>
      <c r="D11" s="23" t="str">
        <f>HYPERLINK("https://www.mouser.com/ProductDetail/Nichicon/QYX1H123KTP?qs=zcDUcsVsD8HkeQ3YEqiSjg%3D%3D","QYX1H123KTP")</f>
        <v>QYX1H123KTP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>
      <c r="A12" s="21">
        <v>4.0</v>
      </c>
      <c r="B12" s="22" t="s">
        <v>143</v>
      </c>
      <c r="C12" s="20" t="s">
        <v>84</v>
      </c>
      <c r="D12" s="23" t="s">
        <v>144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>
      <c r="A13" s="21">
        <v>3.0</v>
      </c>
      <c r="B13" s="22" t="s">
        <v>147</v>
      </c>
      <c r="C13" s="20" t="s">
        <v>84</v>
      </c>
      <c r="D13" s="35"/>
      <c r="E13" s="36" t="s">
        <v>149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>
      <c r="A14" s="21">
        <v>4.0</v>
      </c>
      <c r="B14" s="22" t="s">
        <v>155</v>
      </c>
      <c r="C14" s="20" t="s">
        <v>84</v>
      </c>
      <c r="D14" s="20"/>
      <c r="E14" s="23" t="s">
        <v>156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>
      <c r="A15" s="21">
        <v>2.0</v>
      </c>
      <c r="B15" s="22" t="s">
        <v>158</v>
      </c>
      <c r="C15" s="20" t="s">
        <v>84</v>
      </c>
      <c r="D15" s="20"/>
      <c r="E15" s="23" t="s">
        <v>159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>
      <c r="A16" s="21">
        <v>10.0</v>
      </c>
      <c r="B16" s="22" t="s">
        <v>161</v>
      </c>
      <c r="C16" s="20" t="s">
        <v>84</v>
      </c>
      <c r="D16" s="23" t="s">
        <v>162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>
      <c r="A17" s="21">
        <v>4.0</v>
      </c>
      <c r="B17" s="22" t="s">
        <v>164</v>
      </c>
      <c r="C17" s="20" t="s">
        <v>84</v>
      </c>
      <c r="D17" s="20"/>
      <c r="E17" s="23" t="s">
        <v>165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>
      <c r="A18" s="21">
        <v>3.0</v>
      </c>
      <c r="B18" s="22" t="s">
        <v>170</v>
      </c>
      <c r="C18" s="20" t="s">
        <v>84</v>
      </c>
      <c r="D18" s="23" t="s">
        <v>171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</sheetData>
  <hyperlinks>
    <hyperlink r:id="rId1" ref="D2"/>
    <hyperlink r:id="rId2" ref="D3"/>
    <hyperlink r:id="rId3" ref="E4"/>
    <hyperlink r:id="rId4" ref="D5"/>
    <hyperlink r:id="rId5" ref="D6"/>
    <hyperlink r:id="rId6" ref="D7"/>
    <hyperlink r:id="rId7" ref="D8"/>
    <hyperlink r:id="rId8" ref="D9"/>
    <hyperlink r:id="rId9" ref="D10"/>
    <hyperlink r:id="rId10" ref="D12"/>
    <hyperlink r:id="rId11" ref="E13"/>
    <hyperlink r:id="rId12" ref="E14"/>
    <hyperlink r:id="rId13" ref="E15"/>
    <hyperlink r:id="rId14" ref="D16"/>
    <hyperlink r:id="rId15" ref="E17"/>
    <hyperlink r:id="rId16" ref="D18"/>
  </hyperlinks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2017-09-05T17:27:06Z</dcterms:created>
  <dc:creator>saure</dc:creator>
</cp:coreProperties>
</file>