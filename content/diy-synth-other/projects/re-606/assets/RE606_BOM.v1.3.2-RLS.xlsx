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visible" name="Notes" sheetId="2" r:id="rId5"/>
    <sheet state="visible" name="edits" sheetId="3" r:id="rId6"/>
  </sheets>
  <definedNames>
    <definedName hidden="1" localSheetId="0" name="_xlnm._FilterDatabase">BOM!$A$1:$BI$155</definedName>
  </definedNames>
  <calcPr/>
  <extLst>
    <ext uri="GoogleSheetsCustomDataVersion1">
      <go:sheetsCustomData xmlns:go="http://customooxmlschemas.google.com/" r:id="rId7" roundtripDataSignature="AMtx7mjEhQfdD6Kak7Fnf7u3sxhqzOVpyg=="/>
    </ext>
  </extLst>
</workbook>
</file>

<file path=xl/sharedStrings.xml><?xml version="1.0" encoding="utf-8"?>
<sst xmlns="http://schemas.openxmlformats.org/spreadsheetml/2006/main" count="1285" uniqueCount="1019">
  <si>
    <t>last edit 20-01-30 Paul, bom fix</t>
  </si>
  <si>
    <t>Part #</t>
  </si>
  <si>
    <t>R237</t>
  </si>
  <si>
    <t>Not used</t>
  </si>
  <si>
    <t>Replace with jumper</t>
  </si>
  <si>
    <t>C26</t>
  </si>
  <si>
    <t>last edit 20-01-30 afx, bom fix</t>
  </si>
  <si>
    <t xml:space="preserve">Removed Mouser Part# 755-BU4584B </t>
  </si>
  <si>
    <t>Pixie</t>
  </si>
  <si>
    <t>R76</t>
  </si>
  <si>
    <t>R77</t>
  </si>
  <si>
    <t>R78</t>
  </si>
  <si>
    <t>R79</t>
  </si>
  <si>
    <t>R72</t>
  </si>
  <si>
    <t>Added note regarding IC16</t>
  </si>
  <si>
    <t>R73</t>
  </si>
  <si>
    <t>Added 40106 as replacement for IC1</t>
  </si>
  <si>
    <t>R74</t>
  </si>
  <si>
    <t>IC16 needs to be sourced from Ebay</t>
  </si>
  <si>
    <t>Marked Q412 as not needed</t>
  </si>
  <si>
    <t>Added replacments for Mouser Part# For missing values of xicon polyester caps</t>
  </si>
  <si>
    <t>Fixed Digikey Part# CFM14JT680R</t>
  </si>
  <si>
    <t>R75</t>
  </si>
  <si>
    <t>Added Mouser Part# for xicon 299 series resistors</t>
  </si>
  <si>
    <t>Added Mouser and Digikey Part # for TM</t>
  </si>
  <si>
    <t>R83</t>
  </si>
  <si>
    <t>Added Digikey Part # A132532-ND Strip Cable 8 pos</t>
  </si>
  <si>
    <t>Qty</t>
  </si>
  <si>
    <t>Replaced Mouser Part #571-FSN-23A-10 with 571-FSN-23A-8</t>
  </si>
  <si>
    <t>R24</t>
  </si>
  <si>
    <t>Replacement</t>
  </si>
  <si>
    <t>Added Digikey Part #9911-6MM-ND for led standoffs</t>
  </si>
  <si>
    <t>Store</t>
  </si>
  <si>
    <t>Fixed Mouser Part# 688-SKQEAA</t>
  </si>
  <si>
    <t>R25</t>
  </si>
  <si>
    <t>R45</t>
  </si>
  <si>
    <t>R46</t>
  </si>
  <si>
    <t>R48</t>
  </si>
  <si>
    <r>
      <t xml:space="preserve">Added Digikey Part# </t>
    </r>
    <r>
      <rPr>
        <rFont val="Calibri"/>
        <color rgb="FF000000"/>
        <sz val="11.0"/>
      </rPr>
      <t>TZX6V8C-TRGICT-ND</t>
    </r>
  </si>
  <si>
    <t>last edit 20-01-31 Paul, bom fix</t>
  </si>
  <si>
    <t>R47</t>
  </si>
  <si>
    <t>Q12</t>
  </si>
  <si>
    <t>D25</t>
  </si>
  <si>
    <t>R82</t>
  </si>
  <si>
    <t>R81</t>
  </si>
  <si>
    <t>R49</t>
  </si>
  <si>
    <t xml:space="preserve">Added zener diodes
</t>
  </si>
  <si>
    <t>R50</t>
  </si>
  <si>
    <t>Q412</t>
  </si>
  <si>
    <t>Resistors</t>
  </si>
  <si>
    <t>R424</t>
  </si>
  <si>
    <t>R411</t>
  </si>
  <si>
    <t>IC6</t>
  </si>
  <si>
    <t>R70</t>
  </si>
  <si>
    <t>C27</t>
  </si>
  <si>
    <t>IC7</t>
  </si>
  <si>
    <t>IC8</t>
  </si>
  <si>
    <t>Q45</t>
  </si>
  <si>
    <t>Not Used</t>
  </si>
  <si>
    <t>As per service notes</t>
  </si>
  <si>
    <t>C106</t>
  </si>
  <si>
    <t>IC16</t>
  </si>
  <si>
    <t>It might be possible to replace this part with a 40106 and fine tune the resistors to match the tone of the 4584</t>
  </si>
  <si>
    <t>Fuse Resistor</t>
  </si>
  <si>
    <t>Digikey</t>
  </si>
  <si>
    <t>CFM14JT10R0</t>
  </si>
  <si>
    <t>Mouser</t>
  </si>
  <si>
    <t>299-10-RC</t>
  </si>
  <si>
    <t xml:space="preserve">R343 </t>
  </si>
  <si>
    <t xml:space="preserve">R344 </t>
  </si>
  <si>
    <t>CFM14JT22R0</t>
  </si>
  <si>
    <t>299-22-RC</t>
  </si>
  <si>
    <t>R36</t>
  </si>
  <si>
    <t>CFM14JT33R0</t>
  </si>
  <si>
    <t>299-33-RC</t>
  </si>
  <si>
    <t>R233</t>
  </si>
  <si>
    <t>CFM14JT100R</t>
  </si>
  <si>
    <t>299-100-RC</t>
  </si>
  <si>
    <t>R53</t>
  </si>
  <si>
    <t>R54</t>
  </si>
  <si>
    <t>R55</t>
  </si>
  <si>
    <t xml:space="preserve">R103 </t>
  </si>
  <si>
    <t xml:space="preserve">R146 </t>
  </si>
  <si>
    <t xml:space="preserve">R151 </t>
  </si>
  <si>
    <t xml:space="preserve">R171 </t>
  </si>
  <si>
    <t xml:space="preserve">R179 </t>
  </si>
  <si>
    <t xml:space="preserve">R199 </t>
  </si>
  <si>
    <t xml:space="preserve">R201 </t>
  </si>
  <si>
    <t xml:space="preserve">R216 </t>
  </si>
  <si>
    <t xml:space="preserve">R217 </t>
  </si>
  <si>
    <t xml:space="preserve">R321 </t>
  </si>
  <si>
    <t xml:space="preserve">R334 </t>
  </si>
  <si>
    <t xml:space="preserve">R352 </t>
  </si>
  <si>
    <t xml:space="preserve">R355 </t>
  </si>
  <si>
    <t>R416</t>
  </si>
  <si>
    <t>R417</t>
  </si>
  <si>
    <t>R418</t>
  </si>
  <si>
    <t>R419</t>
  </si>
  <si>
    <t>CFM14JT180R</t>
  </si>
  <si>
    <t>299-180-RC</t>
  </si>
  <si>
    <t>R323</t>
  </si>
  <si>
    <t>CFM14JT220R</t>
  </si>
  <si>
    <t>299-220-RC</t>
  </si>
  <si>
    <t xml:space="preserve">R133 </t>
  </si>
  <si>
    <t xml:space="preserve">R140 </t>
  </si>
  <si>
    <t xml:space="preserve">R141 </t>
  </si>
  <si>
    <t>CFM14JT330R</t>
  </si>
  <si>
    <t>299-330-RC</t>
  </si>
  <si>
    <t xml:space="preserve">R107 </t>
  </si>
  <si>
    <t>299-560-RC</t>
  </si>
  <si>
    <t xml:space="preserve">R222 </t>
  </si>
  <si>
    <t xml:space="preserve">R223 </t>
  </si>
  <si>
    <t>CFM14JT680R</t>
  </si>
  <si>
    <t>299-680-RC</t>
  </si>
  <si>
    <t xml:space="preserve">R115 </t>
  </si>
  <si>
    <t>R402</t>
  </si>
  <si>
    <t>R428</t>
  </si>
  <si>
    <t>R429</t>
  </si>
  <si>
    <t>CFM14JT820R</t>
  </si>
  <si>
    <t>299-820-RC</t>
  </si>
  <si>
    <t xml:space="preserve">R318 </t>
  </si>
  <si>
    <t xml:space="preserve">R333 </t>
  </si>
  <si>
    <t>1k</t>
  </si>
  <si>
    <t>CFM14JT1K00</t>
  </si>
  <si>
    <t>299-1K-RC</t>
  </si>
  <si>
    <t>R2</t>
  </si>
  <si>
    <t>R18</t>
  </si>
  <si>
    <t>R35</t>
  </si>
  <si>
    <t>R64</t>
  </si>
  <si>
    <t>R99</t>
  </si>
  <si>
    <t xml:space="preserve">R100 </t>
  </si>
  <si>
    <t xml:space="preserve">R157 </t>
  </si>
  <si>
    <t xml:space="preserve">R158 </t>
  </si>
  <si>
    <t xml:space="preserve">R193 </t>
  </si>
  <si>
    <t xml:space="preserve">R210 </t>
  </si>
  <si>
    <t xml:space="preserve">R218 </t>
  </si>
  <si>
    <t xml:space="preserve">R310 </t>
  </si>
  <si>
    <t xml:space="preserve">R311 </t>
  </si>
  <si>
    <t>R404</t>
  </si>
  <si>
    <t>1k5</t>
  </si>
  <si>
    <t>CFM14JT1K50</t>
  </si>
  <si>
    <t>299-1.5K-RC</t>
  </si>
  <si>
    <t>R235</t>
  </si>
  <si>
    <t>R238</t>
  </si>
  <si>
    <t>2k2</t>
  </si>
  <si>
    <t>CFM14JT2K20</t>
  </si>
  <si>
    <t>299-2.2K-RC</t>
  </si>
  <si>
    <t xml:space="preserve">R117 </t>
  </si>
  <si>
    <t xml:space="preserve">R337 </t>
  </si>
  <si>
    <t>R420</t>
  </si>
  <si>
    <t>R421</t>
  </si>
  <si>
    <t>R422</t>
  </si>
  <si>
    <t>R423</t>
  </si>
  <si>
    <t>3k3</t>
  </si>
  <si>
    <t>CFM14JT3K30</t>
  </si>
  <si>
    <t>299-3.3K-RC</t>
  </si>
  <si>
    <t>R58</t>
  </si>
  <si>
    <t>R234</t>
  </si>
  <si>
    <t>R247</t>
  </si>
  <si>
    <t>R412</t>
  </si>
  <si>
    <t>R413</t>
  </si>
  <si>
    <t>R414</t>
  </si>
  <si>
    <t>R415</t>
  </si>
  <si>
    <t>4k7</t>
  </si>
  <si>
    <t>CFM14JT4K70</t>
  </si>
  <si>
    <t>299-4.7K-RC</t>
  </si>
  <si>
    <t>R39</t>
  </si>
  <si>
    <t>R43</t>
  </si>
  <si>
    <t>R44</t>
  </si>
  <si>
    <t>R62</t>
  </si>
  <si>
    <t>R87</t>
  </si>
  <si>
    <t>R97</t>
  </si>
  <si>
    <t xml:space="preserve">R127 </t>
  </si>
  <si>
    <t xml:space="preserve">R130 </t>
  </si>
  <si>
    <t xml:space="preserve">R305 </t>
  </si>
  <si>
    <t xml:space="preserve">R308 </t>
  </si>
  <si>
    <t xml:space="preserve">R347 </t>
  </si>
  <si>
    <t xml:space="preserve">R350 </t>
  </si>
  <si>
    <t xml:space="preserve">R353 </t>
  </si>
  <si>
    <t>5k6</t>
  </si>
  <si>
    <t>CFM14JT5K60</t>
  </si>
  <si>
    <t>299-5.6K-RC</t>
  </si>
  <si>
    <t>R204</t>
  </si>
  <si>
    <t>R403</t>
  </si>
  <si>
    <t>6k8</t>
  </si>
  <si>
    <t>CFM14JT6K80</t>
  </si>
  <si>
    <t>299-6.8K-RC</t>
  </si>
  <si>
    <t>R122</t>
  </si>
  <si>
    <t>10k</t>
  </si>
  <si>
    <t>CFM14JT10K0</t>
  </si>
  <si>
    <t>299-10K-RC</t>
  </si>
  <si>
    <t>R11</t>
  </si>
  <si>
    <t>R23</t>
  </si>
  <si>
    <t>R28</t>
  </si>
  <si>
    <t>R52</t>
  </si>
  <si>
    <t>R56</t>
  </si>
  <si>
    <t>R63</t>
  </si>
  <si>
    <t>R67</t>
  </si>
  <si>
    <t>R68</t>
  </si>
  <si>
    <t>R85</t>
  </si>
  <si>
    <t>R86</t>
  </si>
  <si>
    <t>R93</t>
  </si>
  <si>
    <t>R95</t>
  </si>
  <si>
    <t>R96</t>
  </si>
  <si>
    <t>R98</t>
  </si>
  <si>
    <t xml:space="preserve">R102 </t>
  </si>
  <si>
    <t xml:space="preserve">R109 </t>
  </si>
  <si>
    <t xml:space="preserve">R111 </t>
  </si>
  <si>
    <t xml:space="preserve">R125 </t>
  </si>
  <si>
    <t xml:space="preserve">R126 </t>
  </si>
  <si>
    <t xml:space="preserve">R128 </t>
  </si>
  <si>
    <t xml:space="preserve">R129 </t>
  </si>
  <si>
    <t xml:space="preserve">R139 </t>
  </si>
  <si>
    <t xml:space="preserve">R145 </t>
  </si>
  <si>
    <t xml:space="preserve">R156 </t>
  </si>
  <si>
    <t xml:space="preserve">R302 </t>
  </si>
  <si>
    <t xml:space="preserve">R304 </t>
  </si>
  <si>
    <t xml:space="preserve">R306 </t>
  </si>
  <si>
    <t xml:space="preserve">R307 </t>
  </si>
  <si>
    <t xml:space="preserve">R309 </t>
  </si>
  <si>
    <t xml:space="preserve">R312 </t>
  </si>
  <si>
    <t xml:space="preserve">R316 </t>
  </si>
  <si>
    <t xml:space="preserve">R322 </t>
  </si>
  <si>
    <t xml:space="preserve">R346 </t>
  </si>
  <si>
    <t xml:space="preserve">R348 </t>
  </si>
  <si>
    <t xml:space="preserve">R351 </t>
  </si>
  <si>
    <t>R425</t>
  </si>
  <si>
    <t>R426</t>
  </si>
  <si>
    <t>12k</t>
  </si>
  <si>
    <t>CFM14JT12K0</t>
  </si>
  <si>
    <t>299-12K-RC</t>
  </si>
  <si>
    <t>R66</t>
  </si>
  <si>
    <t xml:space="preserve">R172 </t>
  </si>
  <si>
    <t>15k</t>
  </si>
  <si>
    <t>CFM14JT15K0</t>
  </si>
  <si>
    <t>299-15K-RC</t>
  </si>
  <si>
    <t xml:space="preserve">R6 </t>
  </si>
  <si>
    <t>R21</t>
  </si>
  <si>
    <t>R26</t>
  </si>
  <si>
    <t>R37</t>
  </si>
  <si>
    <t>R38</t>
  </si>
  <si>
    <t>R80</t>
  </si>
  <si>
    <t xml:space="preserve">R121 </t>
  </si>
  <si>
    <t xml:space="preserve">R182 </t>
  </si>
  <si>
    <t xml:space="preserve">R183 </t>
  </si>
  <si>
    <t xml:space="preserve">R184 </t>
  </si>
  <si>
    <t>R241</t>
  </si>
  <si>
    <t xml:space="preserve">R326 </t>
  </si>
  <si>
    <t xml:space="preserve">R327 </t>
  </si>
  <si>
    <t>R405</t>
  </si>
  <si>
    <t>R406</t>
  </si>
  <si>
    <t>R430</t>
  </si>
  <si>
    <t>R431</t>
  </si>
  <si>
    <t>R432</t>
  </si>
  <si>
    <t>R433</t>
  </si>
  <si>
    <t>18k</t>
  </si>
  <si>
    <t>CFM14JT18K0</t>
  </si>
  <si>
    <t>299-18K-RC</t>
  </si>
  <si>
    <t>R60</t>
  </si>
  <si>
    <t xml:space="preserve">R104 </t>
  </si>
  <si>
    <t xml:space="preserve">R174 </t>
  </si>
  <si>
    <t xml:space="preserve">R203 </t>
  </si>
  <si>
    <t>22k</t>
  </si>
  <si>
    <t>CFM14JT22K0</t>
  </si>
  <si>
    <t>299-22K-RC</t>
  </si>
  <si>
    <t>R16</t>
  </si>
  <si>
    <t>R17</t>
  </si>
  <si>
    <t>R29</t>
  </si>
  <si>
    <t>R40</t>
  </si>
  <si>
    <t>R51</t>
  </si>
  <si>
    <t>R69</t>
  </si>
  <si>
    <t>R84</t>
  </si>
  <si>
    <t>R88</t>
  </si>
  <si>
    <t>R89</t>
  </si>
  <si>
    <t>R91</t>
  </si>
  <si>
    <t xml:space="preserve">R108 </t>
  </si>
  <si>
    <t xml:space="preserve">R113 </t>
  </si>
  <si>
    <t xml:space="preserve">R132 </t>
  </si>
  <si>
    <t xml:space="preserve">R138 </t>
  </si>
  <si>
    <t xml:space="preserve">R149 </t>
  </si>
  <si>
    <t xml:space="preserve">R153 </t>
  </si>
  <si>
    <t xml:space="preserve">R154 </t>
  </si>
  <si>
    <t xml:space="preserve">R159 </t>
  </si>
  <si>
    <t xml:space="preserve">R161 </t>
  </si>
  <si>
    <t xml:space="preserve">R162 </t>
  </si>
  <si>
    <t xml:space="preserve">R166 </t>
  </si>
  <si>
    <t xml:space="preserve">R191 </t>
  </si>
  <si>
    <t xml:space="preserve">R197 </t>
  </si>
  <si>
    <t xml:space="preserve">R200 </t>
  </si>
  <si>
    <t xml:space="preserve">R211 </t>
  </si>
  <si>
    <t xml:space="preserve">R221 </t>
  </si>
  <si>
    <t xml:space="preserve">R301 </t>
  </si>
  <si>
    <t xml:space="preserve">R303 </t>
  </si>
  <si>
    <t xml:space="preserve">R320 </t>
  </si>
  <si>
    <t xml:space="preserve">R328 </t>
  </si>
  <si>
    <t xml:space="preserve">R332 </t>
  </si>
  <si>
    <t xml:space="preserve">R340 </t>
  </si>
  <si>
    <t xml:space="preserve">R341 </t>
  </si>
  <si>
    <t xml:space="preserve">R342 </t>
  </si>
  <si>
    <t>27k</t>
  </si>
  <si>
    <t>CFM14JT27K0</t>
  </si>
  <si>
    <t>299-27K-RC</t>
  </si>
  <si>
    <t xml:space="preserve">R105 </t>
  </si>
  <si>
    <t xml:space="preserve">R120 </t>
  </si>
  <si>
    <t>R239</t>
  </si>
  <si>
    <t>R242</t>
  </si>
  <si>
    <t>33k</t>
  </si>
  <si>
    <t>CFM14JT33K0</t>
  </si>
  <si>
    <t>299-33K-RC</t>
  </si>
  <si>
    <t>R3</t>
  </si>
  <si>
    <t>R19</t>
  </si>
  <si>
    <t>R27</t>
  </si>
  <si>
    <t>R32</t>
  </si>
  <si>
    <t>R42</t>
  </si>
  <si>
    <t>R71</t>
  </si>
  <si>
    <t>R90</t>
  </si>
  <si>
    <t>R92</t>
  </si>
  <si>
    <t xml:space="preserve">R134 </t>
  </si>
  <si>
    <t xml:space="preserve">R168 </t>
  </si>
  <si>
    <t xml:space="preserve">R169 </t>
  </si>
  <si>
    <t xml:space="preserve">R170 </t>
  </si>
  <si>
    <t xml:space="preserve">R181 </t>
  </si>
  <si>
    <t xml:space="preserve">R185 </t>
  </si>
  <si>
    <t xml:space="preserve">R186 </t>
  </si>
  <si>
    <t xml:space="preserve">R190 </t>
  </si>
  <si>
    <t xml:space="preserve">R339 </t>
  </si>
  <si>
    <t xml:space="preserve">R354 </t>
  </si>
  <si>
    <t>39k</t>
  </si>
  <si>
    <t>CFM14JT39K0</t>
  </si>
  <si>
    <t>299-39K-RC</t>
  </si>
  <si>
    <t xml:space="preserve">R175 </t>
  </si>
  <si>
    <t xml:space="preserve">R176 </t>
  </si>
  <si>
    <t xml:space="preserve">R177 </t>
  </si>
  <si>
    <t xml:space="preserve">R178 </t>
  </si>
  <si>
    <t xml:space="preserve">R205 </t>
  </si>
  <si>
    <t xml:space="preserve">R206 </t>
  </si>
  <si>
    <t xml:space="preserve">R207 </t>
  </si>
  <si>
    <t xml:space="preserve">R208 </t>
  </si>
  <si>
    <t xml:space="preserve">R319 </t>
  </si>
  <si>
    <t>47k</t>
  </si>
  <si>
    <t>CFM14JT47K0</t>
  </si>
  <si>
    <t>299-47K-RC</t>
  </si>
  <si>
    <t>R1</t>
  </si>
  <si>
    <t>R12</t>
  </si>
  <si>
    <t>R13</t>
  </si>
  <si>
    <t>R14</t>
  </si>
  <si>
    <t>R15</t>
  </si>
  <si>
    <t>R22</t>
  </si>
  <si>
    <t>R41</t>
  </si>
  <si>
    <t>R57</t>
  </si>
  <si>
    <t>R65</t>
  </si>
  <si>
    <t>R94</t>
  </si>
  <si>
    <t xml:space="preserve">R114 </t>
  </si>
  <si>
    <t xml:space="preserve">R118 </t>
  </si>
  <si>
    <t xml:space="preserve">R123 </t>
  </si>
  <si>
    <t xml:space="preserve">R124 </t>
  </si>
  <si>
    <t xml:space="preserve">R142 </t>
  </si>
  <si>
    <t xml:space="preserve">R160 </t>
  </si>
  <si>
    <t xml:space="preserve">R198 </t>
  </si>
  <si>
    <t xml:space="preserve">R219 </t>
  </si>
  <si>
    <t xml:space="preserve">R329 </t>
  </si>
  <si>
    <t xml:space="preserve">R330 </t>
  </si>
  <si>
    <t xml:space="preserve">R345 </t>
  </si>
  <si>
    <t>R401</t>
  </si>
  <si>
    <t>R407</t>
  </si>
  <si>
    <t>R408</t>
  </si>
  <si>
    <t>R409</t>
  </si>
  <si>
    <t>R410</t>
  </si>
  <si>
    <t>R427</t>
  </si>
  <si>
    <t>68k</t>
  </si>
  <si>
    <t>CFM14JT68K0</t>
  </si>
  <si>
    <t>299-68K-RC</t>
  </si>
  <si>
    <t>R110</t>
  </si>
  <si>
    <t>R165</t>
  </si>
  <si>
    <t>82k</t>
  </si>
  <si>
    <t>CFM14JT82K0</t>
  </si>
  <si>
    <t>299-82K-RC</t>
  </si>
  <si>
    <t xml:space="preserve">R212 </t>
  </si>
  <si>
    <t xml:space="preserve">R220 </t>
  </si>
  <si>
    <t>R240</t>
  </si>
  <si>
    <t>100k</t>
  </si>
  <si>
    <t>CFM14JT100K</t>
  </si>
  <si>
    <t>299-100K-RC</t>
  </si>
  <si>
    <t>R20</t>
  </si>
  <si>
    <t>R30</t>
  </si>
  <si>
    <t>R33</t>
  </si>
  <si>
    <t xml:space="preserve">R101 </t>
  </si>
  <si>
    <t xml:space="preserve">R106 </t>
  </si>
  <si>
    <t xml:space="preserve">R131 </t>
  </si>
  <si>
    <t xml:space="preserve">R136 </t>
  </si>
  <si>
    <t xml:space="preserve">R137 </t>
  </si>
  <si>
    <t xml:space="preserve">R152 </t>
  </si>
  <si>
    <t xml:space="preserve">R155 </t>
  </si>
  <si>
    <t xml:space="preserve">R164 </t>
  </si>
  <si>
    <t xml:space="preserve">R187 </t>
  </si>
  <si>
    <t xml:space="preserve">R188 </t>
  </si>
  <si>
    <t xml:space="preserve">R189 </t>
  </si>
  <si>
    <t xml:space="preserve">R192 </t>
  </si>
  <si>
    <t xml:space="preserve">R194 </t>
  </si>
  <si>
    <t xml:space="preserve">R195 </t>
  </si>
  <si>
    <t xml:space="preserve">R196 </t>
  </si>
  <si>
    <t xml:space="preserve">R209 </t>
  </si>
  <si>
    <t xml:space="preserve">R213 </t>
  </si>
  <si>
    <t xml:space="preserve">R214 </t>
  </si>
  <si>
    <t xml:space="preserve">R215 </t>
  </si>
  <si>
    <t>R236</t>
  </si>
  <si>
    <t xml:space="preserve">R313 </t>
  </si>
  <si>
    <t xml:space="preserve">R314 </t>
  </si>
  <si>
    <t xml:space="preserve">R315 </t>
  </si>
  <si>
    <t xml:space="preserve">R349 </t>
  </si>
  <si>
    <t xml:space="preserve">150k </t>
  </si>
  <si>
    <t>CFM14JT150K</t>
  </si>
  <si>
    <t>299-150K-RC</t>
  </si>
  <si>
    <t>R9</t>
  </si>
  <si>
    <t>R10</t>
  </si>
  <si>
    <t xml:space="preserve">R227 </t>
  </si>
  <si>
    <t xml:space="preserve">R228 </t>
  </si>
  <si>
    <t xml:space="preserve">R229 </t>
  </si>
  <si>
    <t xml:space="preserve">R230 </t>
  </si>
  <si>
    <t xml:space="preserve">R231 </t>
  </si>
  <si>
    <t xml:space="preserve">R232 </t>
  </si>
  <si>
    <t>180k</t>
  </si>
  <si>
    <t>CFM14JT180K</t>
  </si>
  <si>
    <t>299-180K-RC</t>
  </si>
  <si>
    <t>R243</t>
  </si>
  <si>
    <t>330k</t>
  </si>
  <si>
    <t>CFM14JT330K</t>
  </si>
  <si>
    <t>299-330K-RC</t>
  </si>
  <si>
    <t xml:space="preserve">R135 </t>
  </si>
  <si>
    <t xml:space="preserve">R224 </t>
  </si>
  <si>
    <t>470k</t>
  </si>
  <si>
    <t>CFM14JT470K</t>
  </si>
  <si>
    <t>299-470K-RC</t>
  </si>
  <si>
    <t>R4</t>
  </si>
  <si>
    <t>R5</t>
  </si>
  <si>
    <t>R31</t>
  </si>
  <si>
    <t xml:space="preserve">R143 </t>
  </si>
  <si>
    <t xml:space="preserve">R144 </t>
  </si>
  <si>
    <t xml:space="preserve">R225 </t>
  </si>
  <si>
    <t xml:space="preserve">R246 </t>
  </si>
  <si>
    <t>560k</t>
  </si>
  <si>
    <t>CFM14JT560K</t>
  </si>
  <si>
    <t>299-560K-RC</t>
  </si>
  <si>
    <t>R61</t>
  </si>
  <si>
    <t>R244</t>
  </si>
  <si>
    <t>R245</t>
  </si>
  <si>
    <t>680k</t>
  </si>
  <si>
    <t>CFM14JT680K</t>
  </si>
  <si>
    <t>299-680K-RC</t>
  </si>
  <si>
    <t>R59</t>
  </si>
  <si>
    <t>R119</t>
  </si>
  <si>
    <t>R148</t>
  </si>
  <si>
    <t xml:space="preserve">R226 </t>
  </si>
  <si>
    <t>R317</t>
  </si>
  <si>
    <t>R331</t>
  </si>
  <si>
    <t>820k</t>
  </si>
  <si>
    <t>CFM14JT820K</t>
  </si>
  <si>
    <t>299-820K-RC</t>
  </si>
  <si>
    <t>R112</t>
  </si>
  <si>
    <t>1M</t>
  </si>
  <si>
    <t>CFM14JT1M00</t>
  </si>
  <si>
    <t>299-1M-RC</t>
  </si>
  <si>
    <t>R7</t>
  </si>
  <si>
    <t>R8</t>
  </si>
  <si>
    <t>R34</t>
  </si>
  <si>
    <t xml:space="preserve">R116 </t>
  </si>
  <si>
    <t xml:space="preserve">R147 </t>
  </si>
  <si>
    <t xml:space="preserve">R150 </t>
  </si>
  <si>
    <t xml:space="preserve">R163 </t>
  </si>
  <si>
    <t xml:space="preserve">R167 </t>
  </si>
  <si>
    <t xml:space="preserve">R173 </t>
  </si>
  <si>
    <t xml:space="preserve">R180 </t>
  </si>
  <si>
    <t xml:space="preserve">R202 </t>
  </si>
  <si>
    <t xml:space="preserve">R324 </t>
  </si>
  <si>
    <t xml:space="preserve">R325 </t>
  </si>
  <si>
    <t xml:space="preserve">R335 </t>
  </si>
  <si>
    <t xml:space="preserve">R336 </t>
  </si>
  <si>
    <t xml:space="preserve">R338 </t>
  </si>
  <si>
    <t>Capacitors</t>
  </si>
  <si>
    <t>Electrolytic</t>
  </si>
  <si>
    <t>0.47u</t>
  </si>
  <si>
    <t>50V</t>
  </si>
  <si>
    <t>493-14490-ND</t>
  </si>
  <si>
    <t>647-UKL1HR47KDDANA</t>
  </si>
  <si>
    <t>C25</t>
  </si>
  <si>
    <t>C31</t>
  </si>
  <si>
    <t>C35</t>
  </si>
  <si>
    <t>C42</t>
  </si>
  <si>
    <t>C46</t>
  </si>
  <si>
    <t xml:space="preserve">C303 </t>
  </si>
  <si>
    <t xml:space="preserve">C318 </t>
  </si>
  <si>
    <t>1000u</t>
  </si>
  <si>
    <t xml:space="preserve">6.3V </t>
  </si>
  <si>
    <t>493-10566-1-N</t>
  </si>
  <si>
    <t>647-UKL0J471KPD</t>
  </si>
  <si>
    <t>C319</t>
  </si>
  <si>
    <t>100u</t>
  </si>
  <si>
    <t>16V</t>
  </si>
  <si>
    <t>493-15349-ND</t>
  </si>
  <si>
    <t>647-UKL1C101MPDANA</t>
  </si>
  <si>
    <t>C104</t>
  </si>
  <si>
    <t>C6</t>
  </si>
  <si>
    <t>C13</t>
  </si>
  <si>
    <t xml:space="preserve">C325 </t>
  </si>
  <si>
    <t xml:space="preserve">C328 </t>
  </si>
  <si>
    <t>C403</t>
  </si>
  <si>
    <t>10u</t>
  </si>
  <si>
    <t>493-13395-ND</t>
  </si>
  <si>
    <t>647-UKL1C100KDDANA</t>
  </si>
  <si>
    <t>C9</t>
  </si>
  <si>
    <t>C101</t>
  </si>
  <si>
    <t>C103</t>
  </si>
  <si>
    <t>C105</t>
  </si>
  <si>
    <t xml:space="preserve">C320 </t>
  </si>
  <si>
    <t>C402</t>
  </si>
  <si>
    <t>1u</t>
  </si>
  <si>
    <t>493-15407-ND</t>
  </si>
  <si>
    <t>647-UKL2A010KDD</t>
  </si>
  <si>
    <t>C1</t>
  </si>
  <si>
    <t>C5</t>
  </si>
  <si>
    <t>C16</t>
  </si>
  <si>
    <t>C22</t>
  </si>
  <si>
    <t>C30</t>
  </si>
  <si>
    <t>C45</t>
  </si>
  <si>
    <t>C47</t>
  </si>
  <si>
    <t>C49</t>
  </si>
  <si>
    <t>C53</t>
  </si>
  <si>
    <t>C55</t>
  </si>
  <si>
    <t>C65</t>
  </si>
  <si>
    <t>C66</t>
  </si>
  <si>
    <t>C68</t>
  </si>
  <si>
    <t>C71</t>
  </si>
  <si>
    <t>C74</t>
  </si>
  <si>
    <t>C75</t>
  </si>
  <si>
    <t>C82</t>
  </si>
  <si>
    <t>C84</t>
  </si>
  <si>
    <t>C85</t>
  </si>
  <si>
    <t xml:space="preserve">C308 </t>
  </si>
  <si>
    <t xml:space="preserve">C309 </t>
  </si>
  <si>
    <t>C401</t>
  </si>
  <si>
    <t>2.2u</t>
  </si>
  <si>
    <t>493-15381-ND</t>
  </si>
  <si>
    <t>647-UKL1H2R2KDDANA</t>
  </si>
  <si>
    <t>C48</t>
  </si>
  <si>
    <t>C56</t>
  </si>
  <si>
    <t>C61</t>
  </si>
  <si>
    <t>C83</t>
  </si>
  <si>
    <t>C87</t>
  </si>
  <si>
    <t>C89</t>
  </si>
  <si>
    <t xml:space="preserve">C327 </t>
  </si>
  <si>
    <t>47u</t>
  </si>
  <si>
    <t>493-16225-ND</t>
  </si>
  <si>
    <t>647-UKL1C470KEDANA</t>
  </si>
  <si>
    <t>C14</t>
  </si>
  <si>
    <t>C15</t>
  </si>
  <si>
    <t>C17</t>
  </si>
  <si>
    <t>C18</t>
  </si>
  <si>
    <t>C28</t>
  </si>
  <si>
    <t>C29</t>
  </si>
  <si>
    <t>C54</t>
  </si>
  <si>
    <t>C72</t>
  </si>
  <si>
    <t>C80</t>
  </si>
  <si>
    <t>C81</t>
  </si>
  <si>
    <t>C93</t>
  </si>
  <si>
    <t>C100</t>
  </si>
  <si>
    <t xml:space="preserve">C302 </t>
  </si>
  <si>
    <t xml:space="preserve">C306 </t>
  </si>
  <si>
    <t xml:space="preserve">C324 </t>
  </si>
  <si>
    <t xml:space="preserve">C326 </t>
  </si>
  <si>
    <t>Ceramic</t>
  </si>
  <si>
    <t>22p</t>
  </si>
  <si>
    <t>445-15973-ND</t>
  </si>
  <si>
    <t>810-CC45SL3AD220JYNA</t>
  </si>
  <si>
    <t>C36</t>
  </si>
  <si>
    <t>220p</t>
  </si>
  <si>
    <t>445-15974-ND</t>
  </si>
  <si>
    <t>810-CC45SL3AD221JYNA</t>
  </si>
  <si>
    <t>C2</t>
  </si>
  <si>
    <t>C3</t>
  </si>
  <si>
    <t>C86</t>
  </si>
  <si>
    <t>C88</t>
  </si>
  <si>
    <t>1n</t>
  </si>
  <si>
    <t>BC5111-ND</t>
  </si>
  <si>
    <t xml:space="preserve">594-D102K20Y5PH63J5R </t>
  </si>
  <si>
    <t>C110</t>
  </si>
  <si>
    <t>C329</t>
  </si>
  <si>
    <t>C330</t>
  </si>
  <si>
    <t>Polyester</t>
  </si>
  <si>
    <t>493-3443-ND</t>
  </si>
  <si>
    <t>647-QYX1H102JTP</t>
  </si>
  <si>
    <t>C10</t>
  </si>
  <si>
    <t>C63</t>
  </si>
  <si>
    <t>C69</t>
  </si>
  <si>
    <t>C70</t>
  </si>
  <si>
    <t>C73</t>
  </si>
  <si>
    <t>C96</t>
  </si>
  <si>
    <t>1.5n</t>
  </si>
  <si>
    <t>493-3445-ND</t>
  </si>
  <si>
    <t>647-QYX1H152JTP</t>
  </si>
  <si>
    <t>C38</t>
  </si>
  <si>
    <t>1.8n</t>
  </si>
  <si>
    <t>493-3446-ND</t>
  </si>
  <si>
    <t xml:space="preserve">80-MMK5182J100J1TA18 </t>
  </si>
  <si>
    <t>C52</t>
  </si>
  <si>
    <t>C58</t>
  </si>
  <si>
    <t>2.2n</t>
  </si>
  <si>
    <t>493-3447-ND</t>
  </si>
  <si>
    <t>647-QYX1H222JTP</t>
  </si>
  <si>
    <t>C39</t>
  </si>
  <si>
    <t>C43</t>
  </si>
  <si>
    <t>C44</t>
  </si>
  <si>
    <t>C59</t>
  </si>
  <si>
    <t>C60</t>
  </si>
  <si>
    <t>C62</t>
  </si>
  <si>
    <t>C64</t>
  </si>
  <si>
    <t>C67</t>
  </si>
  <si>
    <t>C77</t>
  </si>
  <si>
    <t>C102</t>
  </si>
  <si>
    <t>3.3n</t>
  </si>
  <si>
    <t>493-3449-ND</t>
  </si>
  <si>
    <t>647-QYX1H332JTP</t>
  </si>
  <si>
    <t>C34</t>
  </si>
  <si>
    <t>C78</t>
  </si>
  <si>
    <t>C92</t>
  </si>
  <si>
    <t>C94</t>
  </si>
  <si>
    <t>C95</t>
  </si>
  <si>
    <t>3.9n</t>
  </si>
  <si>
    <t>493-3384-ND</t>
  </si>
  <si>
    <t>647-QYX1H392KTP</t>
  </si>
  <si>
    <t>C307</t>
  </si>
  <si>
    <t>4.7n</t>
  </si>
  <si>
    <t>493-3451-ND</t>
  </si>
  <si>
    <t>647-QYX1H472JTP</t>
  </si>
  <si>
    <t>C301</t>
  </si>
  <si>
    <t>6.8n</t>
  </si>
  <si>
    <t>493-3453-ND</t>
  </si>
  <si>
    <t>647-QYX1H682JTP</t>
  </si>
  <si>
    <t>C90</t>
  </si>
  <si>
    <t>C91</t>
  </si>
  <si>
    <t xml:space="preserve">C321 </t>
  </si>
  <si>
    <t>10n</t>
  </si>
  <si>
    <t>493-3455-ND</t>
  </si>
  <si>
    <t>647-QYX1H103JTP</t>
  </si>
  <si>
    <t>C4</t>
  </si>
  <si>
    <t>C11</t>
  </si>
  <si>
    <t>C12</t>
  </si>
  <si>
    <t>C21</t>
  </si>
  <si>
    <t>C57</t>
  </si>
  <si>
    <t>C79</t>
  </si>
  <si>
    <t>C97</t>
  </si>
  <si>
    <t>C98</t>
  </si>
  <si>
    <t xml:space="preserve">C317 </t>
  </si>
  <si>
    <t xml:space="preserve">C323 </t>
  </si>
  <si>
    <t>12n</t>
  </si>
  <si>
    <t>493-3390-ND</t>
  </si>
  <si>
    <t>647-QYX1H123KTP</t>
  </si>
  <si>
    <t>C108</t>
  </si>
  <si>
    <t>C109</t>
  </si>
  <si>
    <t>15n</t>
  </si>
  <si>
    <t>493-3457-ND</t>
  </si>
  <si>
    <t>647-QYX1H153JTP</t>
  </si>
  <si>
    <t>C23</t>
  </si>
  <si>
    <t>C24</t>
  </si>
  <si>
    <t>C99</t>
  </si>
  <si>
    <t xml:space="preserve">C107 </t>
  </si>
  <si>
    <t>18n</t>
  </si>
  <si>
    <t>493-3458-ND</t>
  </si>
  <si>
    <t>667-ECQ-E2183KF9</t>
  </si>
  <si>
    <t>C310</t>
  </si>
  <si>
    <t>C311</t>
  </si>
  <si>
    <t>C315</t>
  </si>
  <si>
    <t>27n</t>
  </si>
  <si>
    <t>493-3460-ND</t>
  </si>
  <si>
    <t>667-ECQ-E2273JF9</t>
  </si>
  <si>
    <t>C32</t>
  </si>
  <si>
    <t>C33</t>
  </si>
  <si>
    <t xml:space="preserve">C304 </t>
  </si>
  <si>
    <t xml:space="preserve">C305 </t>
  </si>
  <si>
    <t>ECQ-E2183KF9</t>
  </si>
  <si>
    <t>39n</t>
  </si>
  <si>
    <t>493-3462-ND</t>
  </si>
  <si>
    <t>667-ECQ-E4393JF9</t>
  </si>
  <si>
    <t>C8</t>
  </si>
  <si>
    <t>C314</t>
  </si>
  <si>
    <t>47n</t>
  </si>
  <si>
    <t>493-3463-ND</t>
  </si>
  <si>
    <t>647-QYX1H473JTP</t>
  </si>
  <si>
    <t>C40</t>
  </si>
  <si>
    <t>C76</t>
  </si>
  <si>
    <t>C50</t>
  </si>
  <si>
    <t>C51</t>
  </si>
  <si>
    <t xml:space="preserve">C312 </t>
  </si>
  <si>
    <t xml:space="preserve">C316 </t>
  </si>
  <si>
    <t>56n</t>
  </si>
  <si>
    <t>493-3398-ND</t>
  </si>
  <si>
    <t>647-QYX1H563KTP</t>
  </si>
  <si>
    <t>C19</t>
  </si>
  <si>
    <t>C20</t>
  </si>
  <si>
    <t>C37</t>
  </si>
  <si>
    <t>C41</t>
  </si>
  <si>
    <t>68n</t>
  </si>
  <si>
    <t>493-3399-ND</t>
  </si>
  <si>
    <t>647-QYX1H683KTPT</t>
  </si>
  <si>
    <t>C7</t>
  </si>
  <si>
    <t xml:space="preserve">C313 </t>
  </si>
  <si>
    <t xml:space="preserve">C322 </t>
  </si>
  <si>
    <t>Diodes</t>
  </si>
  <si>
    <t>General Purpose</t>
  </si>
  <si>
    <t>1S2473</t>
  </si>
  <si>
    <t>1SS133</t>
  </si>
  <si>
    <t>1SS133M R0G</t>
  </si>
  <si>
    <t>821-1SS133M</t>
  </si>
  <si>
    <t>D1</t>
  </si>
  <si>
    <t>D2</t>
  </si>
  <si>
    <t>D3</t>
  </si>
  <si>
    <t>D4</t>
  </si>
  <si>
    <t>D5</t>
  </si>
  <si>
    <t xml:space="preserve">D6 </t>
  </si>
  <si>
    <t xml:space="preserve">D7 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</si>
  <si>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</si>
  <si>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</si>
  <si>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</si>
  <si>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</si>
  <si>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</si>
  <si>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</si>
  <si>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</si>
  <si>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</si>
  <si>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</si>
  <si>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</si>
  <si>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</si>
  <si>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</si>
  <si>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</si>
  <si>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</si>
  <si>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</si>
  <si>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</si>
  <si>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</si>
  <si>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</si>
  <si>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</si>
  <si>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</si>
  <si>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</si>
  <si>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</si>
  <si>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</si>
  <si>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</si>
  <si>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</si>
  <si>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</si>
  <si>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</si>
  <si>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</si>
  <si>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</si>
  <si>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</si>
  <si>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</si>
  <si>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D41</t>
  </si>
  <si>
    <t>D44</t>
  </si>
  <si>
    <t>D45</t>
  </si>
  <si>
    <t xml:space="preserve">D301 </t>
  </si>
  <si>
    <t xml:space="preserve">D302 </t>
  </si>
  <si>
    <t xml:space="preserve">D303 </t>
  </si>
  <si>
    <t xml:space="preserve">D304 </t>
  </si>
  <si>
    <t>D402</t>
  </si>
  <si>
    <t>D403</t>
  </si>
  <si>
    <t>D404</t>
  </si>
  <si>
    <t>D405</t>
  </si>
  <si>
    <t>D406</t>
  </si>
  <si>
    <t>D427</t>
  </si>
  <si>
    <t>D428</t>
  </si>
  <si>
    <t>Germanium</t>
  </si>
  <si>
    <t>1S188FM</t>
  </si>
  <si>
    <t>1N60A</t>
  </si>
  <si>
    <t>Ebay</t>
  </si>
  <si>
    <t>D43</t>
  </si>
  <si>
    <t>Zener</t>
  </si>
  <si>
    <t>RD15EB3</t>
  </si>
  <si>
    <t>BZX85B15-TR</t>
  </si>
  <si>
    <t>D42</t>
  </si>
  <si>
    <t>RD6.8EB2</t>
  </si>
  <si>
    <t>BZX85C6V8-TR</t>
  </si>
  <si>
    <t>D40</t>
  </si>
  <si>
    <t>Rectifier</t>
  </si>
  <si>
    <t>S-5500G</t>
  </si>
  <si>
    <t>1N4004</t>
  </si>
  <si>
    <t>1N4004GOS-ND</t>
  </si>
  <si>
    <t>863-1N4004G</t>
  </si>
  <si>
    <t>D407</t>
  </si>
  <si>
    <t>D408</t>
  </si>
  <si>
    <t>D409</t>
  </si>
  <si>
    <t>D410</t>
  </si>
  <si>
    <t>Leds</t>
  </si>
  <si>
    <t>GL-3AR-2</t>
  </si>
  <si>
    <t>HLMP-1700</t>
  </si>
  <si>
    <t>516-1308-ND</t>
  </si>
  <si>
    <t>630-HLMP-1700</t>
  </si>
  <si>
    <t>D401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</si>
  <si>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</si>
  <si>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</si>
  <si>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</si>
  <si>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</si>
  <si>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</si>
  <si>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</si>
  <si>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</si>
  <si>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</si>
  <si>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</si>
  <si>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</si>
  <si>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</si>
  <si>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</si>
  <si>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</si>
  <si>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</si>
  <si>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</si>
  <si>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</si>
  <si>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D429</t>
  </si>
  <si>
    <t>D430</t>
  </si>
  <si>
    <t>IC</t>
  </si>
  <si>
    <t xml:space="preserve">AN6912 </t>
  </si>
  <si>
    <t>LM339</t>
  </si>
  <si>
    <t>296-1393-5-ND</t>
  </si>
  <si>
    <t>595-LM339N</t>
  </si>
  <si>
    <t>IC11</t>
  </si>
  <si>
    <t>HD14001BP</t>
  </si>
  <si>
    <t>CD4001BE</t>
  </si>
  <si>
    <t>296-2028-5-ND</t>
  </si>
  <si>
    <t>595-CD4001BE</t>
  </si>
  <si>
    <t>IC3</t>
  </si>
  <si>
    <t>HD14013BP</t>
  </si>
  <si>
    <t>CD4013BE</t>
  </si>
  <si>
    <t>296-2033-5-ND</t>
  </si>
  <si>
    <t>595-CD4013BE</t>
  </si>
  <si>
    <t>IC2</t>
  </si>
  <si>
    <t>HD14584B</t>
  </si>
  <si>
    <t>CD40106BE</t>
  </si>
  <si>
    <t xml:space="preserve">296-3503-5-ND </t>
  </si>
  <si>
    <t>595-CD40106BE</t>
  </si>
  <si>
    <t>IC1</t>
  </si>
  <si>
    <t>uPC4558</t>
  </si>
  <si>
    <t>RC4558P</t>
  </si>
  <si>
    <t>296-1414-5-ND</t>
  </si>
  <si>
    <t>595-RC4558P</t>
  </si>
  <si>
    <t>IC15</t>
  </si>
  <si>
    <t xml:space="preserve">IC10 </t>
  </si>
  <si>
    <t>JRC2904</t>
  </si>
  <si>
    <t>NJM2904D</t>
  </si>
  <si>
    <t xml:space="preserve">LM2904N/NOPB </t>
  </si>
  <si>
    <t>513-NJM2904D</t>
  </si>
  <si>
    <t>IC5</t>
  </si>
  <si>
    <t>IC9</t>
  </si>
  <si>
    <t xml:space="preserve">IC12 </t>
  </si>
  <si>
    <t xml:space="preserve">IC14 </t>
  </si>
  <si>
    <t>LA4140/AN7112/KA2212/TA7313</t>
  </si>
  <si>
    <t>IC13</t>
  </si>
  <si>
    <t>uPD650C-128</t>
  </si>
  <si>
    <t>Pixie CPU</t>
  </si>
  <si>
    <t>DinSync</t>
  </si>
  <si>
    <t>IC4</t>
  </si>
  <si>
    <t>HD4011BP</t>
  </si>
  <si>
    <t>uPD444C</t>
  </si>
  <si>
    <t>Transistors</t>
  </si>
  <si>
    <t>2SA733P/2SA733Q/2SA1115</t>
  </si>
  <si>
    <t>Tayda</t>
  </si>
  <si>
    <t>2SA733</t>
  </si>
  <si>
    <t>Q2</t>
  </si>
  <si>
    <t>Q3</t>
  </si>
  <si>
    <t>Q4</t>
  </si>
  <si>
    <t xml:space="preserve">Q9 </t>
  </si>
  <si>
    <t>Q13</t>
  </si>
  <si>
    <t>Q15</t>
  </si>
  <si>
    <t>Q18</t>
  </si>
  <si>
    <t>Q22</t>
  </si>
  <si>
    <t>Q27</t>
  </si>
  <si>
    <t>Q29</t>
  </si>
  <si>
    <t>Q33</t>
  </si>
  <si>
    <t>Q34</t>
  </si>
  <si>
    <t xml:space="preserve">Q302 </t>
  </si>
  <si>
    <t xml:space="preserve">Q304 </t>
  </si>
  <si>
    <t xml:space="preserve">Q306 </t>
  </si>
  <si>
    <t>2SC945P/2SC536F/2SC603</t>
  </si>
  <si>
    <t>2SC945</t>
  </si>
  <si>
    <t>Q1</t>
  </si>
  <si>
    <t>Q5</t>
  </si>
  <si>
    <t>Q6</t>
  </si>
  <si>
    <t>Q7</t>
  </si>
  <si>
    <t>Q8</t>
  </si>
  <si>
    <t>Q10</t>
  </si>
  <si>
    <t>Q11</t>
  </si>
  <si>
    <t>Q14</t>
  </si>
  <si>
    <t>Q16</t>
  </si>
  <si>
    <t>Q17</t>
  </si>
  <si>
    <t>Q19</t>
  </si>
  <si>
    <t>Q20</t>
  </si>
  <si>
    <t>Q21</t>
  </si>
  <si>
    <t>Q23</t>
  </si>
  <si>
    <t>Q24</t>
  </si>
  <si>
    <t>Q25</t>
  </si>
  <si>
    <t>Q26</t>
  </si>
  <si>
    <t>Q28</t>
  </si>
  <si>
    <t>Q30</t>
  </si>
  <si>
    <t>Q31</t>
  </si>
  <si>
    <t>Q32</t>
  </si>
  <si>
    <t>Q35</t>
  </si>
  <si>
    <t>Q36</t>
  </si>
  <si>
    <t>Q37</t>
  </si>
  <si>
    <t>Q38</t>
  </si>
  <si>
    <t>Q39</t>
  </si>
  <si>
    <t>Q40</t>
  </si>
  <si>
    <t>Q43</t>
  </si>
  <si>
    <t>Q46</t>
  </si>
  <si>
    <t xml:space="preserve">Q301 </t>
  </si>
  <si>
    <t xml:space="preserve">Q303 </t>
  </si>
  <si>
    <t xml:space="preserve">Q305 </t>
  </si>
  <si>
    <t xml:space="preserve">Q307 </t>
  </si>
  <si>
    <t xml:space="preserve">Q308 </t>
  </si>
  <si>
    <t xml:space="preserve">Q309 </t>
  </si>
  <si>
    <t xml:space="preserve">Q310 </t>
  </si>
  <si>
    <t>2SA937Q/2SB642R/2SA1591Q</t>
  </si>
  <si>
    <t>Q407</t>
  </si>
  <si>
    <t>Q408</t>
  </si>
  <si>
    <t>Q409</t>
  </si>
  <si>
    <t>Q410</t>
  </si>
  <si>
    <t>Q411</t>
  </si>
  <si>
    <t>2SC2021R/2SD637R/2SC4038R</t>
  </si>
  <si>
    <t>Q401</t>
  </si>
  <si>
    <t>Q402</t>
  </si>
  <si>
    <t>Q403</t>
  </si>
  <si>
    <t>Q404</t>
  </si>
  <si>
    <t>Q405</t>
  </si>
  <si>
    <t>Q406</t>
  </si>
  <si>
    <t>Q413</t>
  </si>
  <si>
    <t>Q414</t>
  </si>
  <si>
    <t>2SB596O</t>
  </si>
  <si>
    <t>TIP30C</t>
  </si>
  <si>
    <t>Q42</t>
  </si>
  <si>
    <t>2SB647C</t>
  </si>
  <si>
    <t>KSA916Y</t>
  </si>
  <si>
    <t>Q41</t>
  </si>
  <si>
    <t>2SD667C</t>
  </si>
  <si>
    <t>KSD1616A</t>
  </si>
  <si>
    <t>Q44</t>
  </si>
  <si>
    <t>Trimmers</t>
  </si>
  <si>
    <t>10K</t>
  </si>
  <si>
    <t>3306F-103-ND</t>
  </si>
  <si>
    <t>652-3306F-1-103</t>
  </si>
  <si>
    <t>TM3</t>
  </si>
  <si>
    <t>3306F-104-ND</t>
  </si>
  <si>
    <t>652-3306F-1-104</t>
  </si>
  <si>
    <t>TM1</t>
  </si>
  <si>
    <t>220k</t>
  </si>
  <si>
    <t>3306F-254-ND</t>
  </si>
  <si>
    <t>652-3306F-1-254</t>
  </si>
  <si>
    <t>TM2</t>
  </si>
  <si>
    <t>Jacks</t>
  </si>
  <si>
    <t>HLJ0305-01-030</t>
  </si>
  <si>
    <t>Run/Stop</t>
  </si>
  <si>
    <t>Output</t>
  </si>
  <si>
    <t>SG8026</t>
  </si>
  <si>
    <t>Trigger Out</t>
  </si>
  <si>
    <t>HLJ0305-01-010</t>
  </si>
  <si>
    <t>Headphones</t>
  </si>
  <si>
    <t>HEC0470-01-230</t>
  </si>
  <si>
    <t>DC IN</t>
  </si>
  <si>
    <t>TCS0707-01-010</t>
  </si>
  <si>
    <t>SDS-50J</t>
  </si>
  <si>
    <t>CP-2350-ND</t>
  </si>
  <si>
    <t>490-SDS-50J</t>
  </si>
  <si>
    <t>Sync</t>
  </si>
  <si>
    <t>Switches</t>
  </si>
  <si>
    <t>SSFZ-22-07</t>
  </si>
  <si>
    <t>SW1</t>
  </si>
  <si>
    <t>SRM1018</t>
  </si>
  <si>
    <t>SW3</t>
  </si>
  <si>
    <t>SRM1034</t>
  </si>
  <si>
    <t>SW4</t>
  </si>
  <si>
    <t>KHC10901</t>
  </si>
  <si>
    <t>SKQEAAA010</t>
  </si>
  <si>
    <t>688-SKQEAA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</si>
  <si>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</si>
  <si>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</si>
  <si>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</si>
  <si>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</si>
  <si>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</si>
  <si>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</si>
  <si>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</si>
  <si>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</si>
  <si>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</si>
  <si>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</si>
  <si>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</si>
  <si>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</si>
  <si>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</si>
  <si>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</si>
  <si>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</si>
  <si>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</si>
  <si>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</si>
  <si>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</si>
  <si>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</si>
  <si>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</si>
  <si>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</si>
  <si>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SQPR24P-22PS</t>
  </si>
  <si>
    <t>PIC SS24H01</t>
  </si>
  <si>
    <t>SW2</t>
  </si>
  <si>
    <t>Potentiometers</t>
  </si>
  <si>
    <t>1MC</t>
  </si>
  <si>
    <t>VR1</t>
  </si>
  <si>
    <t>10KB</t>
  </si>
  <si>
    <t>VR2</t>
  </si>
  <si>
    <t xml:space="preserve">50KB </t>
  </si>
  <si>
    <t>VR3</t>
  </si>
  <si>
    <t>VR4</t>
  </si>
  <si>
    <t>VR5</t>
  </si>
  <si>
    <t>VR6</t>
  </si>
  <si>
    <t>VR7</t>
  </si>
  <si>
    <t>50KA Switch</t>
  </si>
  <si>
    <t>VR8</t>
  </si>
  <si>
    <t>Coil</t>
  </si>
  <si>
    <t>MC102C</t>
  </si>
  <si>
    <t>T2</t>
  </si>
  <si>
    <t>S74230</t>
  </si>
  <si>
    <t>T1</t>
  </si>
  <si>
    <t>Other</t>
  </si>
  <si>
    <t>8 Wires Ribbon cable</t>
  </si>
  <si>
    <t>A132532-ND</t>
  </si>
  <si>
    <t>571-FSN-23A-8</t>
  </si>
  <si>
    <t>Led Standoffs</t>
  </si>
  <si>
    <t>9911-6MM-ND</t>
  </si>
  <si>
    <t>749-911-6MM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</si>
</sst>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>
      <sz val="10.0"/>
      <color theme="1"/>
      <name val="Verdana"/>
    </font>
    <font>
      <sz val="11.0"/>
      <color rgb="FFFFFFFF"/>
      <name val="Calibri"/>
    </font>
    <font>
      <color theme="1"/>
      <name val="Calibri"/>
    </font>
    <font>
      <b/>
      <sz val="10.0"/>
      <color theme="0"/>
      <name val="Verdana"/>
    </font>
    <font>
      <sz val="10.0"/>
      <color theme="0"/>
      <name val="Verdana"/>
    </font>
    <font>
      <u/>
      <sz val="10.0"/>
      <color theme="0"/>
      <name val="Verdana"/>
    </font>
    <font>
      <u/>
      <sz val="10.0"/>
      <color theme="0"/>
      <name val="Verdana"/>
    </font>
    <font>
      <sz val="10.0"/>
      <color rgb="FF000000"/>
      <name val="Verdana"/>
    </font>
    <font>
      <u/>
      <sz val="10.0"/>
      <color theme="1"/>
      <name val="Verdana"/>
    </font>
    <font>
      <u/>
      <sz val="10.0"/>
      <color theme="10"/>
      <name val="Verdana"/>
    </font>
    <font>
      <u/>
      <sz val="10.0"/>
      <color theme="0"/>
      <name val="Verdana"/>
    </font>
    <font>
      <u/>
      <sz val="10.0"/>
      <color theme="0"/>
      <name val="Verdana"/>
    </font>
    <font>
      <u/>
      <sz val="10.0"/>
      <color theme="0"/>
      <name val="Verdana"/>
    </font>
    <font>
      <sz val="10.0"/>
      <color rgb="FF1F497D"/>
      <name val="Verdana"/>
    </font>
    <font>
      <u/>
      <sz val="10.0"/>
      <color rgb="FF1F497D"/>
      <name val="Verdana"/>
    </font>
    <font>
      <b/>
      <sz val="10.0"/>
      <color theme="1"/>
      <name val="Verdana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vertical="center"/>
    </xf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horizontal="left"/>
    </xf>
    <xf borderId="1" fillId="2" fontId="6" numFmtId="0" xfId="0" applyBorder="1" applyFont="1"/>
    <xf borderId="0" fillId="0" fontId="3" numFmtId="0" xfId="0" applyAlignment="1" applyFont="1">
      <alignment horizontal="center"/>
    </xf>
    <xf borderId="1" fillId="3" fontId="7" numFmtId="0" xfId="0" applyBorder="1" applyFill="1" applyFont="1"/>
    <xf borderId="1" fillId="3" fontId="8" numFmtId="0" xfId="0" applyBorder="1" applyFont="1"/>
    <xf borderId="1" fillId="4" fontId="7" numFmtId="0" xfId="0" applyBorder="1" applyFill="1" applyFont="1"/>
    <xf borderId="0" fillId="0" fontId="3" numFmtId="0" xfId="0" applyAlignment="1" applyFont="1">
      <alignment horizontal="left" vertical="center"/>
    </xf>
    <xf borderId="1" fillId="5" fontId="6" numFmtId="0" xfId="0" applyAlignment="1" applyBorder="1" applyFill="1" applyFont="1">
      <alignment horizontal="left"/>
    </xf>
    <xf borderId="1" fillId="5" fontId="6" numFmtId="0" xfId="0" applyBorder="1" applyFont="1"/>
    <xf borderId="1" fillId="4" fontId="9" numFmtId="0" xfId="0" applyBorder="1" applyFont="1"/>
    <xf borderId="0" fillId="0" fontId="10" numFmtId="0" xfId="0" applyFont="1"/>
    <xf borderId="1" fillId="3" fontId="7" numFmtId="0" xfId="0" applyAlignment="1" applyBorder="1" applyFont="1">
      <alignment shrinkToFit="0" vertical="center" wrapText="1"/>
    </xf>
    <xf borderId="0" fillId="0" fontId="11" numFmtId="0" xfId="0" applyFont="1"/>
    <xf borderId="1" fillId="6" fontId="3" numFmtId="0" xfId="0" applyBorder="1" applyFill="1" applyFont="1"/>
    <xf borderId="1" fillId="6" fontId="12" numFmtId="0" xfId="0" applyBorder="1" applyFont="1"/>
    <xf borderId="0" fillId="0" fontId="10" numFmtId="0" xfId="0" applyAlignment="1" applyFont="1">
      <alignment readingOrder="0"/>
    </xf>
    <xf borderId="1" fillId="3" fontId="13" numFmtId="0" xfId="0" applyBorder="1" applyFont="1"/>
    <xf borderId="1" fillId="4" fontId="14" numFmtId="0" xfId="0" applyBorder="1" applyFont="1"/>
    <xf borderId="0" fillId="0" fontId="3" numFmtId="49" xfId="0" applyAlignment="1" applyFont="1" applyNumberFormat="1">
      <alignment horizontal="left"/>
    </xf>
    <xf borderId="1" fillId="3" fontId="15" numFmtId="0" xfId="0" applyAlignment="1" applyBorder="1" applyFont="1">
      <alignment shrinkToFit="0" vertical="center" wrapText="1"/>
    </xf>
    <xf borderId="1" fillId="2" fontId="7" numFmtId="0" xfId="0" applyBorder="1" applyFont="1"/>
    <xf borderId="1" fillId="2" fontId="3" numFmtId="0" xfId="0" applyBorder="1" applyFont="1"/>
    <xf borderId="1" fillId="7" fontId="16" numFmtId="0" xfId="0" applyBorder="1" applyFill="1" applyFont="1"/>
    <xf borderId="1" fillId="7" fontId="17" numFmtId="0" xfId="0" applyBorder="1" applyFont="1"/>
    <xf borderId="1" fillId="2" fontId="18" numFmtId="0" xfId="0" applyAlignment="1" applyBorder="1" applyFont="1">
      <alignment horizontal="left"/>
    </xf>
    <xf borderId="0" fillId="0" fontId="3" numFmtId="0" xfId="0" applyAlignment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pt/product-detail/en/nichicon/UKL0J102MPD1TD/493-10566-1-ND/4317587" TargetMode="External"/><Relationship Id="rId84" Type="http://schemas.openxmlformats.org/officeDocument/2006/relationships/hyperlink" Target="http://pt.mouser.com/ProductDetail/Texas-Instruments/CD4013BE/?qs=sGAEpiMZZMvxP%252bvr8KwMwE%2fH01ykG3Igg0CFxBDqisc%3d" TargetMode="External"/><Relationship Id="rId83" Type="http://schemas.openxmlformats.org/officeDocument/2006/relationships/hyperlink" Target="http://pt.mouser.com/ProductDetail/Texas-Instruments/CD4013BE/?qs=sGAEpiMZZMvxP%252bvr8KwMwE%2fH01ykG3Igg0CFxBDqisc%3d" TargetMode="External"/><Relationship Id="rId42" Type="http://schemas.openxmlformats.org/officeDocument/2006/relationships/hyperlink" Target="https://www.digikey.pt/product-detail/en/nichicon/UKL1C101MPDANA/493-15349-ND/2598380" TargetMode="External"/><Relationship Id="rId86" Type="http://schemas.openxmlformats.org/officeDocument/2006/relationships/hyperlink" Target="http://pt.mouser.com/ProductDetail/Texas-Instruments/RC4558P/?qs=sGAEpiMZZMtCHixnSjNA6P3Ssczg4flJ2kiV%2fQZU5sA%3d" TargetMode="External"/><Relationship Id="rId41" Type="http://schemas.openxmlformats.org/officeDocument/2006/relationships/hyperlink" Target="http://pt.mouser.com/ProductDetail/Nichicon/UKL0J471KPD/?qs=sGAEpiMZZMtZ1n0r9vR22cURos1IcPUppn97WV1Wd1Q%3d" TargetMode="External"/><Relationship Id="rId85" Type="http://schemas.openxmlformats.org/officeDocument/2006/relationships/hyperlink" Target="https://www.digikey.pt/product-detail/en/texas-instruments/RC4558P/296-1414-5-ND/277060" TargetMode="External"/><Relationship Id="rId44" Type="http://schemas.openxmlformats.org/officeDocument/2006/relationships/hyperlink" Target="https://www.digikey.pt/product-detail/en/nichicon/UKL1C101MPDANA/493-15349-ND/2598380" TargetMode="External"/><Relationship Id="rId88" Type="http://schemas.openxmlformats.org/officeDocument/2006/relationships/hyperlink" Target="http://pt.mouser.com/ProductDetail/NJR/NJM2904D/?qs=sGAEpiMZZMtCHixnSjNA6PNeOmaxGblUVMHP5TM5Rw0%3d" TargetMode="External"/><Relationship Id="rId43" Type="http://schemas.openxmlformats.org/officeDocument/2006/relationships/hyperlink" Target="http://pt.mouser.com/ProductDetail/Nichicon/UKL1C101MPDANA/?qs=sGAEpiMZZMtZ1n0r9vR22Xou3HnuIKwrSOd2Frs0OHo%3d" TargetMode="External"/><Relationship Id="rId87" Type="http://schemas.openxmlformats.org/officeDocument/2006/relationships/hyperlink" Target="https://www.digikey.pt/product-detail/en/texas-instruments/LM2904N-NOPB/LM2904NNS-NOPB-ND/9503" TargetMode="External"/><Relationship Id="rId46" Type="http://schemas.openxmlformats.org/officeDocument/2006/relationships/hyperlink" Target="https://www.digikey.pt/product-detail/en/nichicon/UKL1C100KDDANA/493-13395-ND/2598377" TargetMode="External"/><Relationship Id="rId45" Type="http://schemas.openxmlformats.org/officeDocument/2006/relationships/hyperlink" Target="http://pt.mouser.com/ProductDetail/Nichicon/UKL1C101MPDANA/?qs=sGAEpiMZZMtZ1n0r9vR22Xou3HnuIKwrSOd2Frs0OHo%3d" TargetMode="External"/><Relationship Id="rId89" Type="http://schemas.openxmlformats.org/officeDocument/2006/relationships/hyperlink" Target="http://www.taydaelectronics.com/2sa733-transistor-pnp-50v-100ma-nec.html" TargetMode="External"/><Relationship Id="rId80" Type="http://schemas.openxmlformats.org/officeDocument/2006/relationships/hyperlink" Target="https://www.digikey.pt/product-detail/en/texas-instruments/CD4001BE/296-2028-5-ND/57684" TargetMode="External"/><Relationship Id="rId82" Type="http://schemas.openxmlformats.org/officeDocument/2006/relationships/hyperlink" Target="https://www.digikey.pt/product-detail/en/texas-instruments/CD4013BE/296-2033-5-ND/67245" TargetMode="External"/><Relationship Id="rId81" Type="http://schemas.openxmlformats.org/officeDocument/2006/relationships/hyperlink" Target="http://pt.mouser.com/ProductDetail/Texas-Instruments/CD4001BE/?qs=sGAEpiMZZMv4BkFy%252bbL2aH7ONpwF%252b6ma9ycDelD%2f0O8%3d" TargetMode="External"/><Relationship Id="rId1" Type="http://schemas.openxmlformats.org/officeDocument/2006/relationships/hyperlink" Target="https://www.digikey.com/product-detail/en/stackpole-electronics-inc/CFM14JT10R0/S10QCT-ND/2617660" TargetMode="External"/><Relationship Id="rId2" Type="http://schemas.openxmlformats.org/officeDocument/2006/relationships/hyperlink" Target="https://www.digikey.com/product-detail/en/stackpole-electronics-inc/CFM14JT22R0/S22QCT-ND/2617713" TargetMode="External"/><Relationship Id="rId3" Type="http://schemas.openxmlformats.org/officeDocument/2006/relationships/hyperlink" Target="https://www.digikey.com/product-detail/en/stackpole-electronics-inc/CFM14JT33R0/S33QCT-ND/2617738" TargetMode="External"/><Relationship Id="rId4" Type="http://schemas.openxmlformats.org/officeDocument/2006/relationships/hyperlink" Target="https://www.digikey.com/product-detail/en/stackpole-electronics-inc/CFM14JT100R/S100QCT-ND/2617658" TargetMode="External"/><Relationship Id="rId9" Type="http://schemas.openxmlformats.org/officeDocument/2006/relationships/hyperlink" Target="https://www.digikey.com/product-detail/en/stackpole-electronics-inc/CFM14JT820R/S820QCT-ND/2617798" TargetMode="External"/><Relationship Id="rId48" Type="http://schemas.openxmlformats.org/officeDocument/2006/relationships/hyperlink" Target="https://www.digikey.pt/product-detail/en/nichicon/UKL2A010KDD/493-15407-ND/2598552" TargetMode="External"/><Relationship Id="rId47" Type="http://schemas.openxmlformats.org/officeDocument/2006/relationships/hyperlink" Target="http://pt.mouser.com/ProductDetail/Nichicon/UKL1C100KDDANA/?qs=sGAEpiMZZMtZ1n0r9vR22bJsKyUmNJj1GMBtCGh554o%3d" TargetMode="External"/><Relationship Id="rId49" Type="http://schemas.openxmlformats.org/officeDocument/2006/relationships/hyperlink" Target="http://pt.mouser.com/ProductDetail/Nichicon/UKL2A010KDD/?qs=sGAEpiMZZMtZ1n0r9vR22Y5%2fi2Hwb5vYT4p6tCe8zgw%3d" TargetMode="External"/><Relationship Id="rId5" Type="http://schemas.openxmlformats.org/officeDocument/2006/relationships/hyperlink" Target="https://www.digikey.com/product-detail/en/stackpole-electronics-inc/CFM14JT180R/S180QCT-ND/2617682" TargetMode="External"/><Relationship Id="rId6" Type="http://schemas.openxmlformats.org/officeDocument/2006/relationships/hyperlink" Target="https://www.digikey.com/product-detail/en/stackpole-electronics-inc/CFM14JT220R/S220QCT-ND/2617711" TargetMode="External"/><Relationship Id="rId7" Type="http://schemas.openxmlformats.org/officeDocument/2006/relationships/hyperlink" Target="https://www.digikey.com/product-detail/en/stackpole-electronics-inc/CFM14JT330R/S330QCT-ND/2617736" TargetMode="External"/><Relationship Id="rId8" Type="http://schemas.openxmlformats.org/officeDocument/2006/relationships/hyperlink" Target="https://www.digikey.com/product-detail/en/stackpole-electronics-inc/CFM14JT33R0/S33QCT-ND/2617738" TargetMode="External"/><Relationship Id="rId73" Type="http://schemas.openxmlformats.org/officeDocument/2006/relationships/hyperlink" Target="https://www.digikey.pt/product-detail/en/taiwan-semiconductor-corporation/1SS133M-R0G/1SS133MR0GCT-ND/7357125" TargetMode="External"/><Relationship Id="rId72" Type="http://schemas.openxmlformats.org/officeDocument/2006/relationships/hyperlink" Target="http://pt.mouser.com/ProductDetail/Nichicon/QYX1H683KTP/?qs=sGAEpiMZZMv1cc3ydrPrF7IQEraYnC%2f80jffk5PF3ko%3d" TargetMode="External"/><Relationship Id="rId31" Type="http://schemas.openxmlformats.org/officeDocument/2006/relationships/hyperlink" Target="https://www.digikey.com/product-detail/en/stackpole-electronics-inc/CFM14JT180K/S180KQCT-ND/2617681" TargetMode="External"/><Relationship Id="rId75" Type="http://schemas.openxmlformats.org/officeDocument/2006/relationships/hyperlink" Target="https://www.digikey.pt/product-detail/en/on-semiconductor/1N4004G/1N4004GOS-ND/1485474" TargetMode="External"/><Relationship Id="rId30" Type="http://schemas.openxmlformats.org/officeDocument/2006/relationships/hyperlink" Target="https://www.digikey.com/product-detail/en/stackpole-electronics-inc/CFM14JT150K/S150KQCT-ND/2617673" TargetMode="External"/><Relationship Id="rId74" Type="http://schemas.openxmlformats.org/officeDocument/2006/relationships/hyperlink" Target="http://pt.mouser.com/ProductDetail/Taiwan-Semiconductor/1SS133M/?qs=sGAEpiMZZMtoHjESLttvkr%2fzPVuiYRB60P6S%252bMyz2ZY%3d" TargetMode="External"/><Relationship Id="rId33" Type="http://schemas.openxmlformats.org/officeDocument/2006/relationships/hyperlink" Target="https://www.digikey.com/product-detail/en/stackpole-electronics-inc/CFM14JT470K/S470KQCT-ND/2617759" TargetMode="External"/><Relationship Id="rId77" Type="http://schemas.openxmlformats.org/officeDocument/2006/relationships/hyperlink" Target="https://www.digikey.pt/product-detail/en/broadcom-limited/HLMP-1700/516-1308-ND/637572" TargetMode="External"/><Relationship Id="rId32" Type="http://schemas.openxmlformats.org/officeDocument/2006/relationships/hyperlink" Target="https://www.digikey.com/product-detail/en/stackpole-electronics-inc/CFM14JT330K/S330KQCT-ND/2617735" TargetMode="External"/><Relationship Id="rId76" Type="http://schemas.openxmlformats.org/officeDocument/2006/relationships/hyperlink" Target="http://pt.mouser.com/ProductDetail/ON-Semiconductor/1N4004G/?qs=sGAEpiMZZMtqO%252bWUGLBzeFB6KNnZTsfj" TargetMode="External"/><Relationship Id="rId35" Type="http://schemas.openxmlformats.org/officeDocument/2006/relationships/hyperlink" Target="https://www.digikey.com/product-detail/en/stackpole-electronics-inc/CFM14JT680K/S680KQCT-ND/2617783" TargetMode="External"/><Relationship Id="rId79" Type="http://schemas.openxmlformats.org/officeDocument/2006/relationships/hyperlink" Target="http://pt.mouser.com/ProductDetail/Texas-Instruments/LM339N/?qs=sGAEpiMZZMtYFXwiBRPs0%252bm1HQp6xrWl" TargetMode="External"/><Relationship Id="rId34" Type="http://schemas.openxmlformats.org/officeDocument/2006/relationships/hyperlink" Target="https://www.digikey.com/product-detail/en/stackpole-electronics-inc/CFM14JT560K/S560KQCT-ND/2617771" TargetMode="External"/><Relationship Id="rId78" Type="http://schemas.openxmlformats.org/officeDocument/2006/relationships/hyperlink" Target="https://www.digikey.pt/product-detail/en/texas-instruments/LM339N/296-1393-5-ND/277628" TargetMode="External"/><Relationship Id="rId71" Type="http://schemas.openxmlformats.org/officeDocument/2006/relationships/hyperlink" Target="https://www.digikey.pt/product-detail/en/nichicon/QYX1H683KTP/493-3399-ND/2117688" TargetMode="External"/><Relationship Id="rId70" Type="http://schemas.openxmlformats.org/officeDocument/2006/relationships/hyperlink" Target="http://pt.mouser.com/ProductDetail/Nichicon/QYX1H563KTP/?qs=sGAEpiMZZMv1cc3ydrPrFyoVFLFcIkf0J0itUkmrnZ0%3d" TargetMode="External"/><Relationship Id="rId37" Type="http://schemas.openxmlformats.org/officeDocument/2006/relationships/hyperlink" Target="https://www.digikey.com/product-detail/en/stackpole-electronics-inc/CFM14JT1M00/S1MQCT-ND/2617692" TargetMode="External"/><Relationship Id="rId36" Type="http://schemas.openxmlformats.org/officeDocument/2006/relationships/hyperlink" Target="https://www.digikey.com/product-detail/en/stackpole-electronics-inc/CFM14JT820K/S820KQCT-ND/2617797" TargetMode="External"/><Relationship Id="rId39" Type="http://schemas.openxmlformats.org/officeDocument/2006/relationships/hyperlink" Target="http://pt.mouser.com/ProductDetail/Nichicon/UKL1HR47KDDANA/?qs=sGAEpiMZZMtZ1n0r9vR22cK9fic32uhgNRPnz4qp8XE%3d" TargetMode="External"/><Relationship Id="rId38" Type="http://schemas.openxmlformats.org/officeDocument/2006/relationships/hyperlink" Target="https://www.digikey.pt/product-detail/en/nichicon/UKL1HR47KDDANA/493-14490-ND/2598490" TargetMode="External"/><Relationship Id="rId62" Type="http://schemas.openxmlformats.org/officeDocument/2006/relationships/hyperlink" Target="http://pt.mouser.com/ProductDetail/Nichicon/QYX1H392KTP/?qs=sGAEpiMZZMv1cc3ydrPrFyoVFLFcIkf0WmP1S9PFiPs%3d" TargetMode="External"/><Relationship Id="rId61" Type="http://schemas.openxmlformats.org/officeDocument/2006/relationships/hyperlink" Target="http://pt.mouser.com/ProductDetail/Nichicon/QYX1H332JTP/?qs=sGAEpiMZZMv1cc3ydrPrF652zNprbYwM%252bgf4%2fHgMWsc%3d" TargetMode="External"/><Relationship Id="rId20" Type="http://schemas.openxmlformats.org/officeDocument/2006/relationships/hyperlink" Target="https://www.digikey.com/product-detail/en/stackpole-electronics-inc/CFM14JT15K0/S15KQCT-ND/2617675" TargetMode="External"/><Relationship Id="rId64" Type="http://schemas.openxmlformats.org/officeDocument/2006/relationships/hyperlink" Target="http://pt.mouser.com/ProductDetail/Nichicon/QYX1H682JTP/?qs=sGAEpiMZZMv1cc3ydrPrF652zNprbYwME87mGvFbO6Q%3d" TargetMode="External"/><Relationship Id="rId63" Type="http://schemas.openxmlformats.org/officeDocument/2006/relationships/hyperlink" Target="http://pt.mouser.com/ProductDetail/Nichicon/QYX1H472JTP/?qs=sGAEpiMZZMv1cc3ydrPrF652zNprbYwMAmeailSsI8I%3d" TargetMode="External"/><Relationship Id="rId22" Type="http://schemas.openxmlformats.org/officeDocument/2006/relationships/hyperlink" Target="https://www.digikey.com/product-detail/en/stackpole-electronics-inc/CFM14JT22K0/S22KQCT-ND/2617712" TargetMode="External"/><Relationship Id="rId66" Type="http://schemas.openxmlformats.org/officeDocument/2006/relationships/hyperlink" Target="http://pt.mouser.com/ProductDetail/Nichicon/QYX1H103JTP/?qs=sGAEpiMZZMv1cc3ydrPrF5a3zO%2f5DaXEa56FHmXUzaI%3d" TargetMode="External"/><Relationship Id="rId21" Type="http://schemas.openxmlformats.org/officeDocument/2006/relationships/hyperlink" Target="https://www.digikey.com/product-detail/en/stackpole-electronics-inc/CFM14JT18K0/S18KQCT-ND/2617683" TargetMode="External"/><Relationship Id="rId65" Type="http://schemas.openxmlformats.org/officeDocument/2006/relationships/hyperlink" Target="https://www.digikey.pt/product-detail/en/nichicon/QYX1H103JTP/493-3455-ND/2117744" TargetMode="External"/><Relationship Id="rId24" Type="http://schemas.openxmlformats.org/officeDocument/2006/relationships/hyperlink" Target="https://www.digikey.com/product-detail/en/stackpole-electronics-inc/CFM14JT33K0/S33KQCT-ND/2617737" TargetMode="External"/><Relationship Id="rId68" Type="http://schemas.openxmlformats.org/officeDocument/2006/relationships/hyperlink" Target="http://pt.mouser.com/ProductDetail/Nichicon/QYX1H153JTP/?qs=sGAEpiMZZMv1cc3ydrPrF652zNprbYwMljH3uESXFhg%3d" TargetMode="External"/><Relationship Id="rId23" Type="http://schemas.openxmlformats.org/officeDocument/2006/relationships/hyperlink" Target="https://www.digikey.com/product-detail/en/stackpole-electronics-inc/CFM14JT27K0/S27KQCT-ND/2617720" TargetMode="External"/><Relationship Id="rId67" Type="http://schemas.openxmlformats.org/officeDocument/2006/relationships/hyperlink" Target="http://pt.mouser.com/ProductDetail/Nichicon/QYX1H123KTP/?qs=sGAEpiMZZMv1cc3ydrPrFyoVFLFcIkf0GfaI2S0Txjo%3d" TargetMode="External"/><Relationship Id="rId60" Type="http://schemas.openxmlformats.org/officeDocument/2006/relationships/hyperlink" Target="http://pt.mouser.com/ProductDetail/Nichicon/QYX1H222JTP/?qs=sGAEpiMZZMv1cc3ydrPrF5a3zO%2f5DaXE94jpM%252bOHFfA%3d" TargetMode="External"/><Relationship Id="rId26" Type="http://schemas.openxmlformats.org/officeDocument/2006/relationships/hyperlink" Target="https://www.digikey.com/product-detail/en/stackpole-electronics-inc/CFM14JT47K0/S47KQCT-ND/2617761" TargetMode="External"/><Relationship Id="rId25" Type="http://schemas.openxmlformats.org/officeDocument/2006/relationships/hyperlink" Target="https://www.digikey.com/product-detail/en/stackpole-electronics-inc/CFM14JT39K0/S39KQCT-ND/2617745" TargetMode="External"/><Relationship Id="rId69" Type="http://schemas.openxmlformats.org/officeDocument/2006/relationships/hyperlink" Target="http://pt.mouser.com/ProductDetail/Nichicon/QYX1H473JTP/?qs=sGAEpiMZZMv1cc3ydrPrF5a3zO%2f5DaXErRAAWmvyuTQ%3d" TargetMode="External"/><Relationship Id="rId28" Type="http://schemas.openxmlformats.org/officeDocument/2006/relationships/hyperlink" Target="https://www.digikey.com/product-detail/en/stackpole-electronics-inc/CFM14JT82K0/S82KQCT-ND/2617799" TargetMode="External"/><Relationship Id="rId27" Type="http://schemas.openxmlformats.org/officeDocument/2006/relationships/hyperlink" Target="https://www.digikey.com/product-detail/en/stackpole-electronics-inc/CFM14JT68K0/S68KQCT-ND/2617785" TargetMode="External"/><Relationship Id="rId29" Type="http://schemas.openxmlformats.org/officeDocument/2006/relationships/hyperlink" Target="https://www.digikey.com/product-detail/en/stackpole-electronics-inc/CFM14JT100K/S100KQCT-ND/2617657" TargetMode="External"/><Relationship Id="rId51" Type="http://schemas.openxmlformats.org/officeDocument/2006/relationships/hyperlink" Target="http://pt.mouser.com/ProductDetail/Nichicon/UKL1H2R2KDDANA/?qs=sGAEpiMZZMtZ1n0r9vR22RPm77sS3Lwx61edjuTmVhw%3d" TargetMode="External"/><Relationship Id="rId95" Type="http://schemas.openxmlformats.org/officeDocument/2006/relationships/hyperlink" Target="https://www.digikey.com/product-detail/en/bivar-inc/9911-6MM/9911-6MM-ND/3094461" TargetMode="External"/><Relationship Id="rId50" Type="http://schemas.openxmlformats.org/officeDocument/2006/relationships/hyperlink" Target="https://www.digikey.pt/product-detail/en/nichicon/UKL1H2R2KDDANA/493-15381-ND/2598465" TargetMode="External"/><Relationship Id="rId94" Type="http://schemas.openxmlformats.org/officeDocument/2006/relationships/hyperlink" Target="https://www.digikey.com/product-detail/en/te-connectivity-amp-connectors/6-6437144-2/A132532-ND/5591899" TargetMode="External"/><Relationship Id="rId53" Type="http://schemas.openxmlformats.org/officeDocument/2006/relationships/hyperlink" Target="http://pt.mouser.com/ProductDetail/Nichicon/UKL1C470KEDANA/?qs=sGAEpiMZZMtZ1n0r9vR22Xou3HnuIKwrGjGZuC4vmYs%3d" TargetMode="External"/><Relationship Id="rId52" Type="http://schemas.openxmlformats.org/officeDocument/2006/relationships/hyperlink" Target="https://www.digikey.pt/product-detail/en/nichicon/UKL1C470KEDANA/493-16225-ND/819580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digikey.com/product-detail/en/stackpole-electronics-inc/CFM14JT1K00/S1KQCT-ND/2617685" TargetMode="External"/><Relationship Id="rId55" Type="http://schemas.openxmlformats.org/officeDocument/2006/relationships/hyperlink" Target="http://pt.mouser.com/ProductDetail/TDK/CC45SL3AD221JYNNA/?qs=sGAEpiMZZMt1mVBmZSXTPHoP5x0NnsZAH%252bKqTSBQw28%3d" TargetMode="External"/><Relationship Id="rId10" Type="http://schemas.openxmlformats.org/officeDocument/2006/relationships/hyperlink" Target="https://www.digikey.com/product-detail/en/stackpole-electronics-inc/CFM14JT820R/S820QCT-ND/2617798" TargetMode="External"/><Relationship Id="rId54" Type="http://schemas.openxmlformats.org/officeDocument/2006/relationships/hyperlink" Target="http://pt.mouser.com/ProductDetail/TDK/CC45SL3AD220JYNNA/?qs=sGAEpiMZZMt1mVBmZSXTPHoP5x0NnsZArEbjoNu6SOY%3d" TargetMode="External"/><Relationship Id="rId13" Type="http://schemas.openxmlformats.org/officeDocument/2006/relationships/hyperlink" Target="https://www.digikey.com/product-detail/en/stackpole-electronics-inc/CFM14JT2K20/S2.2KQCT-ND/2617723" TargetMode="External"/><Relationship Id="rId57" Type="http://schemas.openxmlformats.org/officeDocument/2006/relationships/hyperlink" Target="http://pt.mouser.com/ProductDetail/Nichicon/QYX1H102JTP/?qs=sGAEpiMZZMv1cc3ydrPrF652zNprbYwMtRXqWk2NXh8%3d" TargetMode="External"/><Relationship Id="rId12" Type="http://schemas.openxmlformats.org/officeDocument/2006/relationships/hyperlink" Target="https://www.digikey.com/product-detail/en/stackpole-electronics-inc/CFM14JT1K50/S1.5KQCT-ND/2617689" TargetMode="External"/><Relationship Id="rId56" Type="http://schemas.openxmlformats.org/officeDocument/2006/relationships/hyperlink" Target="https://www.digikey.pt/product-detail/en/nichicon/QYX1H102JTP/493-3443-ND/2117732" TargetMode="External"/><Relationship Id="rId91" Type="http://schemas.openxmlformats.org/officeDocument/2006/relationships/hyperlink" Target="http://pt.mouser.com/ProductDetail/Bourns/3306F-1-103/?qs=sGAEpiMZZMvygUB3GLcD7sSg8po3Zpo3YyLvpV%252bQO6Y%3d" TargetMode="External"/><Relationship Id="rId90" Type="http://schemas.openxmlformats.org/officeDocument/2006/relationships/hyperlink" Target="http://www.taydaelectronics.com/2sc945-c945-bipolar-transistors-npn-50v-0-15a.html" TargetMode="External"/><Relationship Id="rId93" Type="http://schemas.openxmlformats.org/officeDocument/2006/relationships/hyperlink" Target="http://pt.mouser.com/ProductDetail/ALPS/SKQEAAA010/?qs=%2fha2pyFaduh36xnQfbrBt8vYz%252bmkI2GHgu4YuakSftw%3d" TargetMode="External"/><Relationship Id="rId92" Type="http://schemas.openxmlformats.org/officeDocument/2006/relationships/hyperlink" Target="http://pt.mouser.com/ProductDetail/Bourns/3306F-1-104/?qs=sGAEpiMZZMvygUB3GLcD7sSg8po3Zpo34gW7fFpQx5g%3d" TargetMode="External"/><Relationship Id="rId15" Type="http://schemas.openxmlformats.org/officeDocument/2006/relationships/hyperlink" Target="https://www.digikey.com/product-detail/en/stackpole-electronics-inc/CFM14JT4K70/S4.7KQCT-ND/2617764" TargetMode="External"/><Relationship Id="rId59" Type="http://schemas.openxmlformats.org/officeDocument/2006/relationships/hyperlink" Target="http://pt.mouser.com/ProductDetail/Nichicon/QYX1H152JTP/?qs=sGAEpiMZZMv1cc3ydrPrF652zNprbYwMerHDrrYWYCQ%3d" TargetMode="External"/><Relationship Id="rId14" Type="http://schemas.openxmlformats.org/officeDocument/2006/relationships/hyperlink" Target="https://www.digikey.com/product-detail/en/stackpole-electronics-inc/CFM14JT3K30/S3.3KQCT-ND/2617748" TargetMode="External"/><Relationship Id="rId58" Type="http://schemas.openxmlformats.org/officeDocument/2006/relationships/hyperlink" Target="http://pt.mouser.com/ProductDetail/Nichicon/QYX1H152JTP/?qs=sGAEpiMZZMv1cc3ydrPrF652zNprbYwMerHDrrYWYCQ%3d" TargetMode="External"/><Relationship Id="rId17" Type="http://schemas.openxmlformats.org/officeDocument/2006/relationships/hyperlink" Target="https://www.digikey.com/product-detail/en/stackpole-electronics-inc/CFM14JT6K80/S6.8KQCT-ND/2617788" TargetMode="External"/><Relationship Id="rId16" Type="http://schemas.openxmlformats.org/officeDocument/2006/relationships/hyperlink" Target="https://www.digikey.com/product-detail/en/stackpole-electronics-inc/CFM14JT5K60/S5.6KQCT-ND/2617776" TargetMode="External"/><Relationship Id="rId19" Type="http://schemas.openxmlformats.org/officeDocument/2006/relationships/hyperlink" Target="https://www.digikey.com/product-detail/en/stackpole-electronics-inc/CFM14JT12K0/S12KQCT-ND/2617667" TargetMode="External"/><Relationship Id="rId18" Type="http://schemas.openxmlformats.org/officeDocument/2006/relationships/hyperlink" Target="https://www.digikey.com/product-detail/en/stackpole-electronics-inc/CFM14JT10K0/S10KQCT-ND/261765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8.25"/>
    <col customWidth="1" min="3" max="3" width="5.25"/>
    <col customWidth="1" min="4" max="4" width="11.88"/>
    <col customWidth="1" min="5" max="5" width="7.5"/>
    <col customWidth="1" min="6" max="6" width="19.5"/>
    <col customWidth="1" min="7" max="7" width="7.13"/>
    <col customWidth="1" min="8" max="8" width="22.25"/>
    <col customWidth="1" min="9" max="9" width="10.88"/>
    <col customWidth="1" min="10" max="10" width="10.25"/>
    <col customWidth="1" min="11" max="19" width="5.63"/>
    <col customWidth="1" min="20" max="20" width="13.25"/>
    <col customWidth="1" min="21" max="21" width="5.63"/>
    <col customWidth="1" min="22" max="24" width="5.75"/>
    <col customWidth="1" min="25" max="29" width="5.63"/>
    <col customWidth="1" min="30" max="38" width="5.5"/>
    <col customWidth="1" min="39" max="45" width="5.75"/>
    <col customWidth="1" min="46" max="46" width="5.13"/>
    <col customWidth="1" min="47" max="47" width="4.25"/>
    <col customWidth="1" min="48" max="48" width="4.0"/>
    <col customWidth="1" min="49" max="50" width="4.25"/>
    <col customWidth="1" min="51" max="54" width="5.63"/>
    <col customWidth="1" min="55" max="61" width="5.13"/>
    <col customWidth="1" min="62" max="67" width="7.63"/>
  </cols>
  <sheetData>
    <row r="1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3" t="s">
        <v>27</v>
      </c>
      <c r="B2" s="3"/>
      <c r="C2" s="4"/>
      <c r="D2" s="4" t="s">
        <v>30</v>
      </c>
      <c r="E2" s="4" t="s">
        <v>32</v>
      </c>
      <c r="F2" s="4"/>
      <c r="G2" s="4"/>
      <c r="H2" s="4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>
      <c r="A3" s="8" t="s">
        <v>49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>
      <c r="A4" s="10">
        <f t="shared" ref="A4:A41" si="1">COUNTA(I4:BF4)</f>
        <v>1</v>
      </c>
      <c r="B4" s="3">
        <v>2.7</v>
      </c>
      <c r="C4" s="4"/>
      <c r="D4" s="4" t="s">
        <v>63</v>
      </c>
      <c r="E4" s="4"/>
      <c r="F4" s="4"/>
      <c r="G4" s="4"/>
      <c r="H4" s="4"/>
      <c r="I4" s="11" t="s">
        <v>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>
      <c r="A5" s="10">
        <f t="shared" si="1"/>
        <v>2</v>
      </c>
      <c r="B5" s="3">
        <v>10.0</v>
      </c>
      <c r="C5" s="4"/>
      <c r="D5" s="4"/>
      <c r="E5" s="11" t="s">
        <v>64</v>
      </c>
      <c r="F5" s="12" t="s">
        <v>65</v>
      </c>
      <c r="G5" s="13" t="s">
        <v>66</v>
      </c>
      <c r="H5" s="13" t="s">
        <v>67</v>
      </c>
      <c r="I5" s="4" t="s">
        <v>68</v>
      </c>
      <c r="J5" s="4" t="s">
        <v>69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>
      <c r="A6" s="10">
        <f t="shared" si="1"/>
        <v>1</v>
      </c>
      <c r="B6" s="3">
        <v>22.0</v>
      </c>
      <c r="C6" s="4"/>
      <c r="D6" s="4"/>
      <c r="E6" s="11" t="s">
        <v>64</v>
      </c>
      <c r="F6" s="12" t="s">
        <v>70</v>
      </c>
      <c r="G6" s="13" t="s">
        <v>66</v>
      </c>
      <c r="H6" s="13" t="s">
        <v>71</v>
      </c>
      <c r="I6" s="4" t="s">
        <v>72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>
      <c r="A7" s="10">
        <f t="shared" si="1"/>
        <v>1</v>
      </c>
      <c r="B7" s="3">
        <v>33.0</v>
      </c>
      <c r="C7" s="4"/>
      <c r="D7" s="4"/>
      <c r="E7" s="11" t="s">
        <v>64</v>
      </c>
      <c r="F7" s="12" t="s">
        <v>73</v>
      </c>
      <c r="G7" s="13" t="s">
        <v>66</v>
      </c>
      <c r="H7" s="13" t="s">
        <v>74</v>
      </c>
      <c r="I7" s="4" t="s">
        <v>75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>
      <c r="A8" s="10">
        <f t="shared" si="1"/>
        <v>20</v>
      </c>
      <c r="B8" s="3">
        <v>100.0</v>
      </c>
      <c r="C8" s="4"/>
      <c r="D8" s="4"/>
      <c r="E8" s="11" t="s">
        <v>64</v>
      </c>
      <c r="F8" s="12" t="s">
        <v>76</v>
      </c>
      <c r="G8" s="13" t="s">
        <v>66</v>
      </c>
      <c r="H8" s="13" t="s">
        <v>77</v>
      </c>
      <c r="I8" s="4" t="s">
        <v>78</v>
      </c>
      <c r="J8" s="4" t="s">
        <v>79</v>
      </c>
      <c r="K8" s="4" t="s">
        <v>80</v>
      </c>
      <c r="L8" s="4" t="s">
        <v>81</v>
      </c>
      <c r="M8" s="4" t="s">
        <v>82</v>
      </c>
      <c r="N8" s="4" t="s">
        <v>83</v>
      </c>
      <c r="O8" s="4" t="s">
        <v>84</v>
      </c>
      <c r="P8" s="4" t="s">
        <v>85</v>
      </c>
      <c r="Q8" s="4" t="s">
        <v>86</v>
      </c>
      <c r="R8" s="4" t="s">
        <v>87</v>
      </c>
      <c r="S8" s="4" t="s">
        <v>88</v>
      </c>
      <c r="T8" s="4" t="s">
        <v>89</v>
      </c>
      <c r="U8" s="4" t="s">
        <v>90</v>
      </c>
      <c r="V8" s="4" t="s">
        <v>91</v>
      </c>
      <c r="W8" s="4" t="s">
        <v>92</v>
      </c>
      <c r="X8" s="4" t="s">
        <v>93</v>
      </c>
      <c r="Y8" s="4" t="s">
        <v>94</v>
      </c>
      <c r="Z8" s="4" t="s">
        <v>95</v>
      </c>
      <c r="AA8" s="4" t="s">
        <v>96</v>
      </c>
      <c r="AB8" s="4" t="s">
        <v>97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>
      <c r="A9" s="10">
        <f t="shared" si="1"/>
        <v>1</v>
      </c>
      <c r="B9" s="3">
        <v>180.0</v>
      </c>
      <c r="C9" s="4"/>
      <c r="D9" s="4"/>
      <c r="E9" s="11" t="s">
        <v>64</v>
      </c>
      <c r="F9" s="12" t="s">
        <v>98</v>
      </c>
      <c r="G9" s="13" t="s">
        <v>66</v>
      </c>
      <c r="H9" s="13" t="s">
        <v>99</v>
      </c>
      <c r="I9" s="4" t="s">
        <v>100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>
      <c r="A10" s="10">
        <f t="shared" si="1"/>
        <v>3</v>
      </c>
      <c r="B10" s="3">
        <v>220.0</v>
      </c>
      <c r="C10" s="4"/>
      <c r="D10" s="4"/>
      <c r="E10" s="11" t="s">
        <v>64</v>
      </c>
      <c r="F10" s="12" t="s">
        <v>101</v>
      </c>
      <c r="G10" s="13" t="s">
        <v>66</v>
      </c>
      <c r="H10" s="13" t="s">
        <v>102</v>
      </c>
      <c r="I10" s="4" t="s">
        <v>103</v>
      </c>
      <c r="J10" s="4" t="s">
        <v>104</v>
      </c>
      <c r="K10" s="4" t="s">
        <v>105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>
      <c r="A11" s="10">
        <f t="shared" si="1"/>
        <v>1</v>
      </c>
      <c r="B11" s="3">
        <v>330.0</v>
      </c>
      <c r="C11" s="4"/>
      <c r="D11" s="4"/>
      <c r="E11" s="11" t="s">
        <v>64</v>
      </c>
      <c r="F11" s="12" t="s">
        <v>106</v>
      </c>
      <c r="G11" s="13" t="s">
        <v>66</v>
      </c>
      <c r="H11" s="13" t="s">
        <v>107</v>
      </c>
      <c r="I11" s="4" t="s">
        <v>108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>
      <c r="A12" s="10">
        <f t="shared" si="1"/>
        <v>2</v>
      </c>
      <c r="B12" s="3">
        <v>560.0</v>
      </c>
      <c r="C12" s="4"/>
      <c r="D12" s="4"/>
      <c r="E12" s="11" t="s">
        <v>64</v>
      </c>
      <c r="F12" s="12" t="s">
        <v>73</v>
      </c>
      <c r="G12" s="13" t="s">
        <v>66</v>
      </c>
      <c r="H12" s="13" t="s">
        <v>109</v>
      </c>
      <c r="I12" s="4" t="s">
        <v>110</v>
      </c>
      <c r="J12" s="4" t="s">
        <v>111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>
      <c r="A13" s="10">
        <f t="shared" si="1"/>
        <v>4</v>
      </c>
      <c r="B13" s="3">
        <v>680.0</v>
      </c>
      <c r="C13" s="4"/>
      <c r="D13" s="4"/>
      <c r="E13" s="11" t="s">
        <v>64</v>
      </c>
      <c r="F13" s="12" t="s">
        <v>112</v>
      </c>
      <c r="G13" s="13" t="s">
        <v>66</v>
      </c>
      <c r="H13" s="13" t="s">
        <v>113</v>
      </c>
      <c r="I13" s="4" t="s">
        <v>114</v>
      </c>
      <c r="J13" s="4" t="s">
        <v>115</v>
      </c>
      <c r="K13" s="4" t="s">
        <v>116</v>
      </c>
      <c r="L13" s="4" t="s">
        <v>117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>
      <c r="A14" s="10">
        <f t="shared" si="1"/>
        <v>2</v>
      </c>
      <c r="B14" s="3">
        <v>820.0</v>
      </c>
      <c r="C14" s="4"/>
      <c r="D14" s="4"/>
      <c r="E14" s="11" t="s">
        <v>64</v>
      </c>
      <c r="F14" s="12" t="s">
        <v>118</v>
      </c>
      <c r="G14" s="13" t="s">
        <v>66</v>
      </c>
      <c r="H14" s="13" t="s">
        <v>119</v>
      </c>
      <c r="I14" s="4" t="s">
        <v>120</v>
      </c>
      <c r="J14" s="4" t="s">
        <v>121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>
      <c r="A15" s="10">
        <f t="shared" si="1"/>
        <v>14</v>
      </c>
      <c r="B15" s="3" t="s">
        <v>122</v>
      </c>
      <c r="C15" s="4"/>
      <c r="D15" s="4"/>
      <c r="E15" s="11" t="s">
        <v>64</v>
      </c>
      <c r="F15" s="12" t="s">
        <v>123</v>
      </c>
      <c r="G15" s="13" t="s">
        <v>66</v>
      </c>
      <c r="H15" s="13" t="s">
        <v>124</v>
      </c>
      <c r="I15" s="4" t="s">
        <v>125</v>
      </c>
      <c r="J15" s="4" t="s">
        <v>126</v>
      </c>
      <c r="K15" s="4" t="s">
        <v>127</v>
      </c>
      <c r="L15" s="4" t="s">
        <v>128</v>
      </c>
      <c r="M15" s="4" t="s">
        <v>129</v>
      </c>
      <c r="N15" s="4" t="s">
        <v>130</v>
      </c>
      <c r="O15" s="4" t="s">
        <v>131</v>
      </c>
      <c r="P15" s="4" t="s">
        <v>132</v>
      </c>
      <c r="Q15" s="4" t="s">
        <v>133</v>
      </c>
      <c r="R15" s="4" t="s">
        <v>134</v>
      </c>
      <c r="S15" s="4" t="s">
        <v>135</v>
      </c>
      <c r="T15" s="4" t="s">
        <v>136</v>
      </c>
      <c r="U15" s="4" t="s">
        <v>137</v>
      </c>
      <c r="V15" s="4" t="s">
        <v>138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</row>
    <row r="16">
      <c r="A16" s="10">
        <f t="shared" si="1"/>
        <v>2</v>
      </c>
      <c r="B16" s="3" t="s">
        <v>139</v>
      </c>
      <c r="C16" s="4"/>
      <c r="D16" s="4"/>
      <c r="E16" s="11" t="s">
        <v>64</v>
      </c>
      <c r="F16" s="12" t="s">
        <v>140</v>
      </c>
      <c r="G16" s="13" t="s">
        <v>66</v>
      </c>
      <c r="H16" s="13" t="s">
        <v>141</v>
      </c>
      <c r="I16" s="4" t="s">
        <v>142</v>
      </c>
      <c r="J16" s="4" t="s">
        <v>143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</row>
    <row r="17">
      <c r="A17" s="10">
        <f t="shared" si="1"/>
        <v>6</v>
      </c>
      <c r="B17" s="3" t="s">
        <v>144</v>
      </c>
      <c r="C17" s="4"/>
      <c r="D17" s="4"/>
      <c r="E17" s="11" t="s">
        <v>64</v>
      </c>
      <c r="F17" s="12" t="s">
        <v>145</v>
      </c>
      <c r="G17" s="13" t="s">
        <v>66</v>
      </c>
      <c r="H17" s="13" t="s">
        <v>146</v>
      </c>
      <c r="I17" s="4" t="s">
        <v>147</v>
      </c>
      <c r="J17" s="4" t="s">
        <v>148</v>
      </c>
      <c r="K17" s="4" t="s">
        <v>149</v>
      </c>
      <c r="L17" s="4" t="s">
        <v>150</v>
      </c>
      <c r="M17" s="4" t="s">
        <v>151</v>
      </c>
      <c r="N17" s="4" t="s">
        <v>152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</row>
    <row r="18">
      <c r="A18" s="10">
        <f t="shared" si="1"/>
        <v>11</v>
      </c>
      <c r="B18" s="3" t="s">
        <v>153</v>
      </c>
      <c r="C18" s="4"/>
      <c r="D18" s="4"/>
      <c r="E18" s="11" t="s">
        <v>64</v>
      </c>
      <c r="F18" s="12" t="s">
        <v>154</v>
      </c>
      <c r="G18" s="13" t="s">
        <v>66</v>
      </c>
      <c r="H18" s="13" t="s">
        <v>155</v>
      </c>
      <c r="I18" s="4" t="s">
        <v>156</v>
      </c>
      <c r="J18" s="11" t="s">
        <v>9</v>
      </c>
      <c r="K18" s="11" t="s">
        <v>10</v>
      </c>
      <c r="L18" s="11" t="s">
        <v>11</v>
      </c>
      <c r="M18" s="11" t="s">
        <v>12</v>
      </c>
      <c r="N18" s="4" t="s">
        <v>157</v>
      </c>
      <c r="O18" s="4" t="s">
        <v>158</v>
      </c>
      <c r="P18" s="4" t="s">
        <v>159</v>
      </c>
      <c r="Q18" s="4" t="s">
        <v>160</v>
      </c>
      <c r="R18" s="4" t="s">
        <v>161</v>
      </c>
      <c r="S18" s="4" t="s">
        <v>162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>
      <c r="A19" s="10">
        <f t="shared" si="1"/>
        <v>13</v>
      </c>
      <c r="B19" s="3" t="s">
        <v>163</v>
      </c>
      <c r="C19" s="4"/>
      <c r="D19" s="4"/>
      <c r="E19" s="11" t="s">
        <v>64</v>
      </c>
      <c r="F19" s="12" t="s">
        <v>164</v>
      </c>
      <c r="G19" s="13" t="s">
        <v>66</v>
      </c>
      <c r="H19" s="13" t="s">
        <v>165</v>
      </c>
      <c r="I19" s="4" t="s">
        <v>166</v>
      </c>
      <c r="J19" s="4" t="s">
        <v>167</v>
      </c>
      <c r="K19" s="4" t="s">
        <v>168</v>
      </c>
      <c r="L19" s="4" t="s">
        <v>169</v>
      </c>
      <c r="M19" s="4" t="s">
        <v>170</v>
      </c>
      <c r="N19" s="4" t="s">
        <v>171</v>
      </c>
      <c r="O19" s="4" t="s">
        <v>172</v>
      </c>
      <c r="P19" s="4" t="s">
        <v>173</v>
      </c>
      <c r="Q19" s="4" t="s">
        <v>174</v>
      </c>
      <c r="R19" s="4" t="s">
        <v>175</v>
      </c>
      <c r="S19" s="4" t="s">
        <v>176</v>
      </c>
      <c r="T19" s="4" t="s">
        <v>177</v>
      </c>
      <c r="U19" s="4" t="s">
        <v>178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>
      <c r="A20" s="10">
        <f t="shared" si="1"/>
        <v>2</v>
      </c>
      <c r="B20" s="3" t="s">
        <v>179</v>
      </c>
      <c r="C20" s="4"/>
      <c r="D20" s="4"/>
      <c r="E20" s="11" t="s">
        <v>64</v>
      </c>
      <c r="F20" s="12" t="s">
        <v>180</v>
      </c>
      <c r="G20" s="13" t="s">
        <v>66</v>
      </c>
      <c r="H20" s="13" t="s">
        <v>181</v>
      </c>
      <c r="I20" s="4" t="s">
        <v>182</v>
      </c>
      <c r="J20" s="4" t="s">
        <v>183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ht="15.75" customHeight="1">
      <c r="A21" s="10">
        <f t="shared" si="1"/>
        <v>1</v>
      </c>
      <c r="B21" s="3" t="s">
        <v>184</v>
      </c>
      <c r="C21" s="4"/>
      <c r="D21" s="4"/>
      <c r="E21" s="11" t="s">
        <v>64</v>
      </c>
      <c r="F21" s="12" t="s">
        <v>185</v>
      </c>
      <c r="G21" s="13" t="s">
        <v>66</v>
      </c>
      <c r="H21" s="13" t="s">
        <v>186</v>
      </c>
      <c r="I21" s="4" t="s">
        <v>187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 ht="15.75" customHeight="1">
      <c r="A22" s="10">
        <f t="shared" si="1"/>
        <v>38</v>
      </c>
      <c r="B22" s="3" t="s">
        <v>188</v>
      </c>
      <c r="C22" s="4"/>
      <c r="D22" s="4"/>
      <c r="E22" s="11" t="s">
        <v>64</v>
      </c>
      <c r="F22" s="12" t="s">
        <v>189</v>
      </c>
      <c r="G22" s="13" t="s">
        <v>66</v>
      </c>
      <c r="H22" s="13" t="s">
        <v>190</v>
      </c>
      <c r="I22" s="4" t="s">
        <v>191</v>
      </c>
      <c r="J22" s="4" t="s">
        <v>192</v>
      </c>
      <c r="K22" s="4" t="s">
        <v>193</v>
      </c>
      <c r="L22" s="4" t="s">
        <v>194</v>
      </c>
      <c r="M22" s="4" t="s">
        <v>195</v>
      </c>
      <c r="N22" s="4" t="s">
        <v>196</v>
      </c>
      <c r="O22" s="4" t="s">
        <v>197</v>
      </c>
      <c r="P22" s="4" t="s">
        <v>198</v>
      </c>
      <c r="Q22" s="4" t="s">
        <v>199</v>
      </c>
      <c r="R22" s="4" t="s">
        <v>200</v>
      </c>
      <c r="S22" s="4" t="s">
        <v>201</v>
      </c>
      <c r="T22" s="4" t="s">
        <v>202</v>
      </c>
      <c r="U22" s="4" t="s">
        <v>203</v>
      </c>
      <c r="V22" s="4" t="s">
        <v>204</v>
      </c>
      <c r="W22" s="4" t="s">
        <v>205</v>
      </c>
      <c r="X22" s="4" t="s">
        <v>206</v>
      </c>
      <c r="Y22" s="4" t="s">
        <v>207</v>
      </c>
      <c r="Z22" s="4" t="s">
        <v>208</v>
      </c>
      <c r="AA22" s="4" t="s">
        <v>209</v>
      </c>
      <c r="AB22" s="4" t="s">
        <v>210</v>
      </c>
      <c r="AC22" s="4" t="s">
        <v>211</v>
      </c>
      <c r="AD22" s="4" t="s">
        <v>212</v>
      </c>
      <c r="AE22" s="4" t="s">
        <v>213</v>
      </c>
      <c r="AF22" s="4" t="s">
        <v>214</v>
      </c>
      <c r="AG22" s="4" t="s">
        <v>215</v>
      </c>
      <c r="AH22" s="4" t="s">
        <v>216</v>
      </c>
      <c r="AI22" s="4" t="s">
        <v>217</v>
      </c>
      <c r="AJ22" s="4" t="s">
        <v>218</v>
      </c>
      <c r="AK22" s="4" t="s">
        <v>219</v>
      </c>
      <c r="AL22" s="4" t="s">
        <v>220</v>
      </c>
      <c r="AM22" s="4" t="s">
        <v>221</v>
      </c>
      <c r="AN22" s="4" t="s">
        <v>222</v>
      </c>
      <c r="AO22" s="4" t="s">
        <v>223</v>
      </c>
      <c r="AP22" s="4" t="s">
        <v>224</v>
      </c>
      <c r="AQ22" s="4" t="s">
        <v>225</v>
      </c>
      <c r="AR22" s="11" t="s">
        <v>50</v>
      </c>
      <c r="AS22" s="4" t="s">
        <v>226</v>
      </c>
      <c r="AT22" s="4" t="s">
        <v>227</v>
      </c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</row>
    <row r="23" ht="15.75" customHeight="1">
      <c r="A23" s="10">
        <f t="shared" si="1"/>
        <v>2</v>
      </c>
      <c r="B23" s="3" t="s">
        <v>228</v>
      </c>
      <c r="C23" s="4"/>
      <c r="D23" s="4"/>
      <c r="E23" s="11" t="s">
        <v>64</v>
      </c>
      <c r="F23" s="12" t="s">
        <v>229</v>
      </c>
      <c r="G23" s="13" t="s">
        <v>66</v>
      </c>
      <c r="H23" s="13" t="s">
        <v>230</v>
      </c>
      <c r="I23" s="4" t="s">
        <v>231</v>
      </c>
      <c r="J23" s="4" t="s">
        <v>232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 ht="15.75" customHeight="1">
      <c r="A24" s="10">
        <f t="shared" si="1"/>
        <v>24</v>
      </c>
      <c r="B24" s="3" t="s">
        <v>233</v>
      </c>
      <c r="C24" s="4"/>
      <c r="D24" s="4"/>
      <c r="E24" s="11" t="s">
        <v>64</v>
      </c>
      <c r="F24" s="12" t="s">
        <v>234</v>
      </c>
      <c r="G24" s="13" t="s">
        <v>66</v>
      </c>
      <c r="H24" s="13" t="s">
        <v>235</v>
      </c>
      <c r="I24" s="4" t="s">
        <v>236</v>
      </c>
      <c r="J24" s="4" t="s">
        <v>237</v>
      </c>
      <c r="K24" s="4" t="s">
        <v>238</v>
      </c>
      <c r="L24" s="4" t="s">
        <v>239</v>
      </c>
      <c r="M24" s="4" t="s">
        <v>240</v>
      </c>
      <c r="N24" s="11" t="s">
        <v>53</v>
      </c>
      <c r="O24" s="11" t="s">
        <v>13</v>
      </c>
      <c r="P24" s="11" t="s">
        <v>15</v>
      </c>
      <c r="Q24" s="11" t="s">
        <v>17</v>
      </c>
      <c r="R24" s="11" t="s">
        <v>22</v>
      </c>
      <c r="S24" s="4" t="s">
        <v>241</v>
      </c>
      <c r="T24" s="4" t="s">
        <v>242</v>
      </c>
      <c r="U24" s="4" t="s">
        <v>243</v>
      </c>
      <c r="V24" s="4" t="s">
        <v>244</v>
      </c>
      <c r="W24" s="4" t="s">
        <v>245</v>
      </c>
      <c r="X24" s="4" t="s">
        <v>246</v>
      </c>
      <c r="Y24" s="4" t="s">
        <v>247</v>
      </c>
      <c r="Z24" s="4" t="s">
        <v>248</v>
      </c>
      <c r="AA24" s="4" t="s">
        <v>249</v>
      </c>
      <c r="AB24" s="4" t="s">
        <v>250</v>
      </c>
      <c r="AC24" s="4" t="s">
        <v>251</v>
      </c>
      <c r="AD24" s="4" t="s">
        <v>252</v>
      </c>
      <c r="AE24" s="4" t="s">
        <v>253</v>
      </c>
      <c r="AF24" s="4" t="s">
        <v>254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 ht="15.75" customHeight="1">
      <c r="A25" s="10">
        <f t="shared" si="1"/>
        <v>4</v>
      </c>
      <c r="B25" s="3" t="s">
        <v>255</v>
      </c>
      <c r="C25" s="4"/>
      <c r="D25" s="4"/>
      <c r="E25" s="11" t="s">
        <v>64</v>
      </c>
      <c r="F25" s="12" t="s">
        <v>256</v>
      </c>
      <c r="G25" s="13" t="s">
        <v>66</v>
      </c>
      <c r="H25" s="13" t="s">
        <v>257</v>
      </c>
      <c r="I25" s="4" t="s">
        <v>258</v>
      </c>
      <c r="J25" s="4" t="s">
        <v>259</v>
      </c>
      <c r="K25" s="4" t="s">
        <v>260</v>
      </c>
      <c r="L25" s="4" t="s">
        <v>261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ht="15.75" customHeight="1">
      <c r="A26" s="10">
        <f t="shared" si="1"/>
        <v>34</v>
      </c>
      <c r="B26" s="3" t="s">
        <v>262</v>
      </c>
      <c r="C26" s="4"/>
      <c r="D26" s="4"/>
      <c r="E26" s="11" t="s">
        <v>64</v>
      </c>
      <c r="F26" s="12" t="s">
        <v>263</v>
      </c>
      <c r="G26" s="13" t="s">
        <v>66</v>
      </c>
      <c r="H26" s="13" t="s">
        <v>264</v>
      </c>
      <c r="I26" s="4" t="s">
        <v>265</v>
      </c>
      <c r="J26" s="4" t="s">
        <v>266</v>
      </c>
      <c r="K26" s="4" t="s">
        <v>267</v>
      </c>
      <c r="L26" s="4" t="s">
        <v>268</v>
      </c>
      <c r="M26" s="4" t="s">
        <v>269</v>
      </c>
      <c r="N26" s="4" t="s">
        <v>270</v>
      </c>
      <c r="O26" s="4" t="s">
        <v>271</v>
      </c>
      <c r="P26" s="4" t="s">
        <v>272</v>
      </c>
      <c r="Q26" s="4" t="s">
        <v>273</v>
      </c>
      <c r="R26" s="4" t="s">
        <v>274</v>
      </c>
      <c r="S26" s="4" t="s">
        <v>275</v>
      </c>
      <c r="T26" s="4" t="s">
        <v>276</v>
      </c>
      <c r="U26" s="4" t="s">
        <v>277</v>
      </c>
      <c r="V26" s="4" t="s">
        <v>278</v>
      </c>
      <c r="W26" s="4" t="s">
        <v>279</v>
      </c>
      <c r="X26" s="4" t="s">
        <v>280</v>
      </c>
      <c r="Y26" s="4" t="s">
        <v>281</v>
      </c>
      <c r="Z26" s="4" t="s">
        <v>282</v>
      </c>
      <c r="AA26" s="4" t="s">
        <v>283</v>
      </c>
      <c r="AB26" s="4" t="s">
        <v>284</v>
      </c>
      <c r="AC26" s="4" t="s">
        <v>285</v>
      </c>
      <c r="AD26" s="4" t="s">
        <v>286</v>
      </c>
      <c r="AE26" s="4" t="s">
        <v>287</v>
      </c>
      <c r="AF26" s="4" t="s">
        <v>288</v>
      </c>
      <c r="AG26" s="4" t="s">
        <v>289</v>
      </c>
      <c r="AH26" s="4" t="s">
        <v>290</v>
      </c>
      <c r="AI26" s="4" t="s">
        <v>291</v>
      </c>
      <c r="AJ26" s="4" t="s">
        <v>292</v>
      </c>
      <c r="AK26" s="4" t="s">
        <v>293</v>
      </c>
      <c r="AL26" s="4" t="s">
        <v>294</v>
      </c>
      <c r="AM26" s="4" t="s">
        <v>295</v>
      </c>
      <c r="AN26" s="4" t="s">
        <v>296</v>
      </c>
      <c r="AO26" s="4" t="s">
        <v>297</v>
      </c>
      <c r="AP26" s="4" t="s">
        <v>298</v>
      </c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 ht="15.75" customHeight="1">
      <c r="A27" s="10">
        <f t="shared" si="1"/>
        <v>4</v>
      </c>
      <c r="B27" s="3" t="s">
        <v>299</v>
      </c>
      <c r="C27" s="4"/>
      <c r="D27" s="4"/>
      <c r="E27" s="11" t="s">
        <v>64</v>
      </c>
      <c r="F27" s="12" t="s">
        <v>300</v>
      </c>
      <c r="G27" s="13" t="s">
        <v>66</v>
      </c>
      <c r="H27" s="13" t="s">
        <v>301</v>
      </c>
      <c r="I27" s="4" t="s">
        <v>302</v>
      </c>
      <c r="J27" s="4" t="s">
        <v>303</v>
      </c>
      <c r="K27" s="4" t="s">
        <v>304</v>
      </c>
      <c r="L27" s="4" t="s">
        <v>305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 ht="15.75" customHeight="1">
      <c r="A28" s="10">
        <f t="shared" si="1"/>
        <v>20</v>
      </c>
      <c r="B28" s="3" t="s">
        <v>306</v>
      </c>
      <c r="C28" s="4"/>
      <c r="D28" s="4"/>
      <c r="E28" s="11" t="s">
        <v>64</v>
      </c>
      <c r="F28" s="12" t="s">
        <v>307</v>
      </c>
      <c r="G28" s="13" t="s">
        <v>66</v>
      </c>
      <c r="H28" s="13" t="s">
        <v>308</v>
      </c>
      <c r="I28" s="4" t="s">
        <v>309</v>
      </c>
      <c r="J28" s="4" t="s">
        <v>310</v>
      </c>
      <c r="K28" s="4" t="s">
        <v>311</v>
      </c>
      <c r="L28" s="4" t="s">
        <v>312</v>
      </c>
      <c r="M28" s="4" t="s">
        <v>313</v>
      </c>
      <c r="N28" s="11" t="s">
        <v>37</v>
      </c>
      <c r="O28" s="4" t="s">
        <v>314</v>
      </c>
      <c r="P28" s="11" t="s">
        <v>25</v>
      </c>
      <c r="Q28" s="4" t="s">
        <v>315</v>
      </c>
      <c r="R28" s="4" t="s">
        <v>316</v>
      </c>
      <c r="S28" s="4" t="s">
        <v>317</v>
      </c>
      <c r="T28" s="4" t="s">
        <v>318</v>
      </c>
      <c r="U28" s="4" t="s">
        <v>319</v>
      </c>
      <c r="V28" s="4" t="s">
        <v>320</v>
      </c>
      <c r="W28" s="4" t="s">
        <v>321</v>
      </c>
      <c r="X28" s="4" t="s">
        <v>322</v>
      </c>
      <c r="Y28" s="4" t="s">
        <v>323</v>
      </c>
      <c r="Z28" s="4" t="s">
        <v>324</v>
      </c>
      <c r="AA28" s="4" t="s">
        <v>325</v>
      </c>
      <c r="AB28" s="4" t="s">
        <v>326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</row>
    <row r="29" ht="15.75" customHeight="1">
      <c r="A29" s="10">
        <f t="shared" si="1"/>
        <v>10</v>
      </c>
      <c r="B29" s="3" t="s">
        <v>327</v>
      </c>
      <c r="C29" s="4"/>
      <c r="D29" s="4"/>
      <c r="E29" s="11" t="s">
        <v>64</v>
      </c>
      <c r="F29" s="12" t="s">
        <v>328</v>
      </c>
      <c r="G29" s="13" t="s">
        <v>66</v>
      </c>
      <c r="H29" s="13" t="s">
        <v>329</v>
      </c>
      <c r="I29" s="4" t="s">
        <v>330</v>
      </c>
      <c r="J29" s="4" t="s">
        <v>331</v>
      </c>
      <c r="K29" s="4" t="s">
        <v>332</v>
      </c>
      <c r="L29" s="4" t="s">
        <v>333</v>
      </c>
      <c r="M29" s="4" t="s">
        <v>334</v>
      </c>
      <c r="N29" s="4" t="s">
        <v>335</v>
      </c>
      <c r="O29" s="4" t="s">
        <v>336</v>
      </c>
      <c r="P29" s="4" t="s">
        <v>337</v>
      </c>
      <c r="Q29" s="4" t="s">
        <v>338</v>
      </c>
      <c r="R29" s="11" t="s">
        <v>51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  <row r="30" ht="15.75" customHeight="1">
      <c r="A30" s="10">
        <f t="shared" si="1"/>
        <v>32</v>
      </c>
      <c r="B30" s="3" t="s">
        <v>339</v>
      </c>
      <c r="C30" s="4"/>
      <c r="D30" s="4"/>
      <c r="E30" s="11" t="s">
        <v>64</v>
      </c>
      <c r="F30" s="12" t="s">
        <v>340</v>
      </c>
      <c r="G30" s="13" t="s">
        <v>66</v>
      </c>
      <c r="H30" s="13" t="s">
        <v>341</v>
      </c>
      <c r="I30" s="4" t="s">
        <v>342</v>
      </c>
      <c r="J30" s="4" t="s">
        <v>343</v>
      </c>
      <c r="K30" s="4" t="s">
        <v>344</v>
      </c>
      <c r="L30" s="4" t="s">
        <v>345</v>
      </c>
      <c r="M30" s="4" t="s">
        <v>346</v>
      </c>
      <c r="N30" s="4" t="s">
        <v>347</v>
      </c>
      <c r="O30" s="4" t="s">
        <v>348</v>
      </c>
      <c r="P30" s="11" t="s">
        <v>40</v>
      </c>
      <c r="Q30" s="11" t="s">
        <v>45</v>
      </c>
      <c r="R30" s="11" t="s">
        <v>47</v>
      </c>
      <c r="S30" s="4" t="s">
        <v>349</v>
      </c>
      <c r="T30" s="4" t="s">
        <v>350</v>
      </c>
      <c r="U30" s="11" t="s">
        <v>44</v>
      </c>
      <c r="V30" s="11" t="s">
        <v>43</v>
      </c>
      <c r="W30" s="4" t="s">
        <v>351</v>
      </c>
      <c r="X30" s="4" t="s">
        <v>352</v>
      </c>
      <c r="Y30" s="4" t="s">
        <v>353</v>
      </c>
      <c r="Z30" s="4" t="s">
        <v>354</v>
      </c>
      <c r="AA30" s="4" t="s">
        <v>355</v>
      </c>
      <c r="AB30" s="4" t="s">
        <v>356</v>
      </c>
      <c r="AC30" s="4" t="s">
        <v>357</v>
      </c>
      <c r="AD30" s="4" t="s">
        <v>358</v>
      </c>
      <c r="AE30" s="4" t="s">
        <v>359</v>
      </c>
      <c r="AF30" s="4" t="s">
        <v>360</v>
      </c>
      <c r="AG30" s="4" t="s">
        <v>361</v>
      </c>
      <c r="AH30" s="4" t="s">
        <v>362</v>
      </c>
      <c r="AI30" s="4" t="s">
        <v>363</v>
      </c>
      <c r="AJ30" s="4" t="s">
        <v>364</v>
      </c>
      <c r="AK30" s="4" t="s">
        <v>365</v>
      </c>
      <c r="AL30" s="4" t="s">
        <v>366</v>
      </c>
      <c r="AM30" s="4" t="s">
        <v>367</v>
      </c>
      <c r="AN30" s="4" t="s">
        <v>368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</row>
    <row r="31" ht="15.75" customHeight="1">
      <c r="A31" s="10">
        <f t="shared" si="1"/>
        <v>2</v>
      </c>
      <c r="B31" s="3" t="s">
        <v>369</v>
      </c>
      <c r="C31" s="4"/>
      <c r="D31" s="4"/>
      <c r="E31" s="11" t="s">
        <v>64</v>
      </c>
      <c r="F31" s="12" t="s">
        <v>370</v>
      </c>
      <c r="G31" s="13" t="s">
        <v>66</v>
      </c>
      <c r="H31" s="13" t="s">
        <v>371</v>
      </c>
      <c r="I31" s="4" t="s">
        <v>372</v>
      </c>
      <c r="J31" s="4" t="s">
        <v>373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</row>
    <row r="32" ht="15.75" customHeight="1">
      <c r="A32" s="10">
        <f t="shared" si="1"/>
        <v>7</v>
      </c>
      <c r="B32" s="3" t="s">
        <v>374</v>
      </c>
      <c r="C32" s="4"/>
      <c r="D32" s="4"/>
      <c r="E32" s="11" t="s">
        <v>64</v>
      </c>
      <c r="F32" s="12" t="s">
        <v>375</v>
      </c>
      <c r="G32" s="13" t="s">
        <v>66</v>
      </c>
      <c r="H32" s="13" t="s">
        <v>376</v>
      </c>
      <c r="I32" s="11" t="s">
        <v>29</v>
      </c>
      <c r="J32" s="11" t="s">
        <v>34</v>
      </c>
      <c r="K32" s="11" t="s">
        <v>35</v>
      </c>
      <c r="L32" s="11" t="s">
        <v>36</v>
      </c>
      <c r="M32" s="4" t="s">
        <v>377</v>
      </c>
      <c r="N32" s="4" t="s">
        <v>378</v>
      </c>
      <c r="O32" s="4" t="s">
        <v>379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</row>
    <row r="33" ht="15.75" customHeight="1">
      <c r="A33" s="10">
        <f t="shared" si="1"/>
        <v>27</v>
      </c>
      <c r="B33" s="3" t="s">
        <v>380</v>
      </c>
      <c r="C33" s="4"/>
      <c r="D33" s="4"/>
      <c r="E33" s="11" t="s">
        <v>64</v>
      </c>
      <c r="F33" s="12" t="s">
        <v>381</v>
      </c>
      <c r="G33" s="13" t="s">
        <v>66</v>
      </c>
      <c r="H33" s="13" t="s">
        <v>382</v>
      </c>
      <c r="I33" s="4" t="s">
        <v>383</v>
      </c>
      <c r="J33" s="4" t="s">
        <v>384</v>
      </c>
      <c r="K33" s="4" t="s">
        <v>385</v>
      </c>
      <c r="L33" s="4" t="s">
        <v>386</v>
      </c>
      <c r="M33" s="4" t="s">
        <v>387</v>
      </c>
      <c r="N33" s="4" t="s">
        <v>388</v>
      </c>
      <c r="O33" s="4" t="s">
        <v>389</v>
      </c>
      <c r="P33" s="4" t="s">
        <v>390</v>
      </c>
      <c r="Q33" s="4" t="s">
        <v>391</v>
      </c>
      <c r="R33" s="4" t="s">
        <v>392</v>
      </c>
      <c r="S33" s="4" t="s">
        <v>393</v>
      </c>
      <c r="T33" s="4" t="s">
        <v>394</v>
      </c>
      <c r="U33" s="4" t="s">
        <v>395</v>
      </c>
      <c r="V33" s="4" t="s">
        <v>396</v>
      </c>
      <c r="W33" s="4" t="s">
        <v>397</v>
      </c>
      <c r="X33" s="4" t="s">
        <v>398</v>
      </c>
      <c r="Y33" s="4" t="s">
        <v>399</v>
      </c>
      <c r="Z33" s="4" t="s">
        <v>400</v>
      </c>
      <c r="AA33" s="4" t="s">
        <v>401</v>
      </c>
      <c r="AB33" s="4" t="s">
        <v>402</v>
      </c>
      <c r="AC33" s="4" t="s">
        <v>403</v>
      </c>
      <c r="AD33" s="4" t="s">
        <v>404</v>
      </c>
      <c r="AE33" s="4" t="s">
        <v>405</v>
      </c>
      <c r="AF33" s="4" t="s">
        <v>406</v>
      </c>
      <c r="AG33" s="4" t="s">
        <v>407</v>
      </c>
      <c r="AH33" s="4" t="s">
        <v>408</v>
      </c>
      <c r="AI33" s="4" t="s">
        <v>409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</row>
    <row r="34" ht="15.75" customHeight="1">
      <c r="A34" s="10">
        <f t="shared" si="1"/>
        <v>8</v>
      </c>
      <c r="B34" s="14" t="s">
        <v>410</v>
      </c>
      <c r="C34" s="4"/>
      <c r="D34" s="4"/>
      <c r="E34" s="11" t="s">
        <v>64</v>
      </c>
      <c r="F34" s="12" t="s">
        <v>411</v>
      </c>
      <c r="G34" s="13" t="s">
        <v>66</v>
      </c>
      <c r="H34" s="13" t="s">
        <v>412</v>
      </c>
      <c r="I34" s="4" t="s">
        <v>413</v>
      </c>
      <c r="J34" s="4" t="s">
        <v>414</v>
      </c>
      <c r="K34" s="4" t="s">
        <v>415</v>
      </c>
      <c r="L34" s="4" t="s">
        <v>416</v>
      </c>
      <c r="M34" s="4" t="s">
        <v>417</v>
      </c>
      <c r="N34" s="4" t="s">
        <v>418</v>
      </c>
      <c r="O34" s="4" t="s">
        <v>419</v>
      </c>
      <c r="P34" s="4" t="s">
        <v>420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</row>
    <row r="35" ht="15.75" customHeight="1">
      <c r="A35" s="10">
        <f t="shared" si="1"/>
        <v>1</v>
      </c>
      <c r="B35" s="3" t="s">
        <v>421</v>
      </c>
      <c r="C35" s="4"/>
      <c r="D35" s="4"/>
      <c r="E35" s="11" t="s">
        <v>64</v>
      </c>
      <c r="F35" s="12" t="s">
        <v>422</v>
      </c>
      <c r="G35" s="13" t="s">
        <v>66</v>
      </c>
      <c r="H35" s="13" t="s">
        <v>423</v>
      </c>
      <c r="I35" s="4" t="s">
        <v>424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</row>
    <row r="36" ht="15.75" customHeight="1">
      <c r="A36" s="10">
        <f t="shared" si="1"/>
        <v>2</v>
      </c>
      <c r="B36" s="3" t="s">
        <v>425</v>
      </c>
      <c r="C36" s="4"/>
      <c r="D36" s="4"/>
      <c r="E36" s="11" t="s">
        <v>64</v>
      </c>
      <c r="F36" s="12" t="s">
        <v>426</v>
      </c>
      <c r="G36" s="13" t="s">
        <v>66</v>
      </c>
      <c r="H36" s="13" t="s">
        <v>427</v>
      </c>
      <c r="I36" s="4" t="s">
        <v>428</v>
      </c>
      <c r="J36" s="4" t="s">
        <v>429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</row>
    <row r="37" ht="15.75" customHeight="1">
      <c r="A37" s="10">
        <f t="shared" si="1"/>
        <v>7</v>
      </c>
      <c r="B37" s="3" t="s">
        <v>430</v>
      </c>
      <c r="C37" s="4"/>
      <c r="D37" s="4"/>
      <c r="E37" s="11" t="s">
        <v>64</v>
      </c>
      <c r="F37" s="12" t="s">
        <v>431</v>
      </c>
      <c r="G37" s="13" t="s">
        <v>66</v>
      </c>
      <c r="H37" s="13" t="s">
        <v>432</v>
      </c>
      <c r="I37" s="4" t="s">
        <v>433</v>
      </c>
      <c r="J37" s="4" t="s">
        <v>434</v>
      </c>
      <c r="K37" s="4" t="s">
        <v>435</v>
      </c>
      <c r="L37" s="4" t="s">
        <v>436</v>
      </c>
      <c r="M37" s="4" t="s">
        <v>437</v>
      </c>
      <c r="N37" s="4" t="s">
        <v>438</v>
      </c>
      <c r="O37" s="4" t="s">
        <v>439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</row>
    <row r="38" ht="15.75" customHeight="1">
      <c r="A38" s="10">
        <f t="shared" si="1"/>
        <v>3</v>
      </c>
      <c r="B38" s="3" t="s">
        <v>440</v>
      </c>
      <c r="C38" s="4"/>
      <c r="D38" s="4"/>
      <c r="E38" s="11" t="s">
        <v>64</v>
      </c>
      <c r="F38" s="12" t="s">
        <v>441</v>
      </c>
      <c r="G38" s="13" t="s">
        <v>66</v>
      </c>
      <c r="H38" s="13" t="s">
        <v>442</v>
      </c>
      <c r="I38" s="4" t="s">
        <v>443</v>
      </c>
      <c r="J38" s="4" t="s">
        <v>444</v>
      </c>
      <c r="K38" s="4" t="s">
        <v>445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</row>
    <row r="39" ht="15.75" customHeight="1">
      <c r="A39" s="10">
        <f t="shared" si="1"/>
        <v>6</v>
      </c>
      <c r="B39" s="3" t="s">
        <v>446</v>
      </c>
      <c r="C39" s="4"/>
      <c r="D39" s="4"/>
      <c r="E39" s="11" t="s">
        <v>64</v>
      </c>
      <c r="F39" s="12" t="s">
        <v>447</v>
      </c>
      <c r="G39" s="13" t="s">
        <v>66</v>
      </c>
      <c r="H39" s="13" t="s">
        <v>448</v>
      </c>
      <c r="I39" s="4" t="s">
        <v>449</v>
      </c>
      <c r="J39" s="4" t="s">
        <v>450</v>
      </c>
      <c r="K39" s="4" t="s">
        <v>451</v>
      </c>
      <c r="L39" s="4" t="s">
        <v>452</v>
      </c>
      <c r="M39" s="4" t="s">
        <v>453</v>
      </c>
      <c r="N39" s="4" t="s">
        <v>454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</row>
    <row r="40" ht="15.75" customHeight="1">
      <c r="A40" s="10">
        <f t="shared" si="1"/>
        <v>1</v>
      </c>
      <c r="B40" s="3" t="s">
        <v>455</v>
      </c>
      <c r="C40" s="4"/>
      <c r="D40" s="4"/>
      <c r="E40" s="11" t="s">
        <v>64</v>
      </c>
      <c r="F40" s="12" t="s">
        <v>456</v>
      </c>
      <c r="G40" s="13" t="s">
        <v>66</v>
      </c>
      <c r="H40" s="13" t="s">
        <v>457</v>
      </c>
      <c r="I40" s="4" t="s">
        <v>458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ht="15.75" customHeight="1">
      <c r="A41" s="10">
        <f t="shared" si="1"/>
        <v>16</v>
      </c>
      <c r="B41" s="3" t="s">
        <v>459</v>
      </c>
      <c r="C41" s="4"/>
      <c r="D41" s="4"/>
      <c r="E41" s="11" t="s">
        <v>64</v>
      </c>
      <c r="F41" s="12" t="s">
        <v>460</v>
      </c>
      <c r="G41" s="13" t="s">
        <v>66</v>
      </c>
      <c r="H41" s="13" t="s">
        <v>461</v>
      </c>
      <c r="I41" s="4" t="s">
        <v>462</v>
      </c>
      <c r="J41" s="4" t="s">
        <v>463</v>
      </c>
      <c r="K41" s="4" t="s">
        <v>464</v>
      </c>
      <c r="L41" s="4" t="s">
        <v>465</v>
      </c>
      <c r="M41" s="4" t="s">
        <v>466</v>
      </c>
      <c r="N41" s="4" t="s">
        <v>467</v>
      </c>
      <c r="O41" s="4" t="s">
        <v>468</v>
      </c>
      <c r="P41" s="4" t="s">
        <v>469</v>
      </c>
      <c r="Q41" s="4" t="s">
        <v>470</v>
      </c>
      <c r="R41" s="4" t="s">
        <v>471</v>
      </c>
      <c r="S41" s="4" t="s">
        <v>472</v>
      </c>
      <c r="T41" s="4" t="s">
        <v>473</v>
      </c>
      <c r="U41" s="4" t="s">
        <v>474</v>
      </c>
      <c r="V41" s="4" t="s">
        <v>475</v>
      </c>
      <c r="W41" s="4" t="s">
        <v>476</v>
      </c>
      <c r="X41" s="4" t="s">
        <v>477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</row>
    <row r="42" ht="15.75" customHeight="1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</row>
    <row r="43" ht="15.75" customHeight="1">
      <c r="A43" s="8" t="s">
        <v>478</v>
      </c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4"/>
    </row>
    <row r="44" ht="15.75" customHeight="1">
      <c r="A44" s="15" t="s">
        <v>479</v>
      </c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4"/>
    </row>
    <row r="45" ht="15.75" customHeight="1">
      <c r="A45" s="10">
        <f t="shared" ref="A45:A52" si="2">COUNTA(I45:BF45)</f>
        <v>7</v>
      </c>
      <c r="B45" s="14" t="s">
        <v>480</v>
      </c>
      <c r="C45" s="4" t="s">
        <v>481</v>
      </c>
      <c r="D45" s="4"/>
      <c r="E45" s="11" t="s">
        <v>64</v>
      </c>
      <c r="F45" s="12" t="s">
        <v>482</v>
      </c>
      <c r="G45" s="13" t="s">
        <v>66</v>
      </c>
      <c r="H45" s="17" t="s">
        <v>483</v>
      </c>
      <c r="I45" s="4" t="s">
        <v>484</v>
      </c>
      <c r="J45" s="4" t="s">
        <v>485</v>
      </c>
      <c r="K45" s="4" t="s">
        <v>486</v>
      </c>
      <c r="L45" s="4" t="s">
        <v>487</v>
      </c>
      <c r="M45" s="4" t="s">
        <v>488</v>
      </c>
      <c r="N45" s="4" t="s">
        <v>489</v>
      </c>
      <c r="O45" s="4" t="s">
        <v>490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</row>
    <row r="46" ht="15.75" customHeight="1">
      <c r="A46" s="10">
        <f t="shared" si="2"/>
        <v>1</v>
      </c>
      <c r="B46" s="14" t="s">
        <v>491</v>
      </c>
      <c r="C46" s="4" t="s">
        <v>492</v>
      </c>
      <c r="D46" s="4"/>
      <c r="E46" s="11" t="s">
        <v>64</v>
      </c>
      <c r="F46" s="12" t="s">
        <v>493</v>
      </c>
      <c r="G46" s="13" t="s">
        <v>66</v>
      </c>
      <c r="H46" s="17" t="s">
        <v>494</v>
      </c>
      <c r="I46" s="4" t="s">
        <v>495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</row>
    <row r="47" ht="15.75" customHeight="1">
      <c r="A47" s="10">
        <f t="shared" si="2"/>
        <v>1</v>
      </c>
      <c r="B47" s="3" t="s">
        <v>496</v>
      </c>
      <c r="C47" s="4" t="s">
        <v>497</v>
      </c>
      <c r="D47" s="4"/>
      <c r="E47" s="11" t="s">
        <v>64</v>
      </c>
      <c r="F47" s="12" t="s">
        <v>498</v>
      </c>
      <c r="G47" s="13" t="s">
        <v>66</v>
      </c>
      <c r="H47" s="17" t="s">
        <v>499</v>
      </c>
      <c r="I47" s="4" t="s">
        <v>500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</row>
    <row r="48" ht="15.75" customHeight="1">
      <c r="A48" s="10">
        <f t="shared" si="2"/>
        <v>6</v>
      </c>
      <c r="B48" s="3" t="s">
        <v>496</v>
      </c>
      <c r="C48" s="4" t="s">
        <v>492</v>
      </c>
      <c r="D48" s="4"/>
      <c r="E48" s="11" t="s">
        <v>64</v>
      </c>
      <c r="F48" s="12" t="s">
        <v>498</v>
      </c>
      <c r="G48" s="13" t="s">
        <v>66</v>
      </c>
      <c r="H48" s="17" t="s">
        <v>499</v>
      </c>
      <c r="I48" s="4" t="s">
        <v>501</v>
      </c>
      <c r="J48" s="4" t="s">
        <v>502</v>
      </c>
      <c r="K48" s="11" t="s">
        <v>54</v>
      </c>
      <c r="L48" s="4" t="s">
        <v>503</v>
      </c>
      <c r="M48" s="4" t="s">
        <v>504</v>
      </c>
      <c r="N48" s="4" t="s">
        <v>505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</row>
    <row r="49" ht="15.75" customHeight="1">
      <c r="A49" s="10">
        <f t="shared" si="2"/>
        <v>7</v>
      </c>
      <c r="B49" s="3" t="s">
        <v>506</v>
      </c>
      <c r="C49" s="4" t="s">
        <v>497</v>
      </c>
      <c r="D49" s="4"/>
      <c r="E49" s="11" t="s">
        <v>64</v>
      </c>
      <c r="F49" s="12" t="s">
        <v>507</v>
      </c>
      <c r="G49" s="13" t="s">
        <v>66</v>
      </c>
      <c r="H49" s="17" t="s">
        <v>508</v>
      </c>
      <c r="I49" s="4" t="s">
        <v>509</v>
      </c>
      <c r="J49" s="18" t="s">
        <v>510</v>
      </c>
      <c r="K49" s="4" t="s">
        <v>511</v>
      </c>
      <c r="L49" s="4" t="s">
        <v>512</v>
      </c>
      <c r="M49" s="11" t="s">
        <v>60</v>
      </c>
      <c r="N49" s="4" t="s">
        <v>513</v>
      </c>
      <c r="O49" s="4" t="s">
        <v>514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</row>
    <row r="50" ht="15.75" customHeight="1">
      <c r="A50" s="10">
        <f t="shared" si="2"/>
        <v>22</v>
      </c>
      <c r="B50" s="3" t="s">
        <v>515</v>
      </c>
      <c r="C50" s="4" t="s">
        <v>481</v>
      </c>
      <c r="D50" s="4"/>
      <c r="E50" s="11" t="s">
        <v>64</v>
      </c>
      <c r="F50" s="12" t="s">
        <v>516</v>
      </c>
      <c r="G50" s="13" t="s">
        <v>66</v>
      </c>
      <c r="H50" s="17" t="s">
        <v>517</v>
      </c>
      <c r="I50" s="4" t="s">
        <v>518</v>
      </c>
      <c r="J50" s="4" t="s">
        <v>519</v>
      </c>
      <c r="K50" s="4" t="s">
        <v>520</v>
      </c>
      <c r="L50" s="4" t="s">
        <v>521</v>
      </c>
      <c r="M50" s="4" t="s">
        <v>522</v>
      </c>
      <c r="N50" s="4" t="s">
        <v>523</v>
      </c>
      <c r="O50" s="4" t="s">
        <v>524</v>
      </c>
      <c r="P50" s="4" t="s">
        <v>525</v>
      </c>
      <c r="Q50" s="4" t="s">
        <v>526</v>
      </c>
      <c r="R50" s="4" t="s">
        <v>527</v>
      </c>
      <c r="S50" s="4" t="s">
        <v>528</v>
      </c>
      <c r="T50" s="4" t="s">
        <v>529</v>
      </c>
      <c r="U50" s="4" t="s">
        <v>530</v>
      </c>
      <c r="V50" s="4" t="s">
        <v>531</v>
      </c>
      <c r="W50" s="4" t="s">
        <v>532</v>
      </c>
      <c r="X50" s="4" t="s">
        <v>533</v>
      </c>
      <c r="Y50" s="4" t="s">
        <v>534</v>
      </c>
      <c r="Z50" s="4" t="s">
        <v>535</v>
      </c>
      <c r="AA50" s="4" t="s">
        <v>536</v>
      </c>
      <c r="AB50" s="4" t="s">
        <v>537</v>
      </c>
      <c r="AC50" s="4" t="s">
        <v>538</v>
      </c>
      <c r="AD50" s="4" t="s">
        <v>539</v>
      </c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</row>
    <row r="51" ht="15.75" customHeight="1">
      <c r="A51" s="10">
        <f t="shared" si="2"/>
        <v>7</v>
      </c>
      <c r="B51" s="3" t="s">
        <v>540</v>
      </c>
      <c r="C51" s="4" t="s">
        <v>481</v>
      </c>
      <c r="D51" s="4"/>
      <c r="E51" s="11" t="s">
        <v>64</v>
      </c>
      <c r="F51" s="12" t="s">
        <v>541</v>
      </c>
      <c r="G51" s="13" t="s">
        <v>66</v>
      </c>
      <c r="H51" s="17" t="s">
        <v>542</v>
      </c>
      <c r="I51" s="4" t="s">
        <v>543</v>
      </c>
      <c r="J51" s="4" t="s">
        <v>544</v>
      </c>
      <c r="K51" s="4" t="s">
        <v>545</v>
      </c>
      <c r="L51" s="4" t="s">
        <v>546</v>
      </c>
      <c r="M51" s="4" t="s">
        <v>547</v>
      </c>
      <c r="N51" s="4" t="s">
        <v>548</v>
      </c>
      <c r="O51" s="4" t="s">
        <v>549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</row>
    <row r="52" ht="15.0" customHeight="1">
      <c r="A52" s="10">
        <f t="shared" si="2"/>
        <v>16</v>
      </c>
      <c r="B52" s="3" t="s">
        <v>550</v>
      </c>
      <c r="C52" s="4" t="s">
        <v>497</v>
      </c>
      <c r="D52" s="4"/>
      <c r="E52" s="11" t="s">
        <v>64</v>
      </c>
      <c r="F52" s="12" t="s">
        <v>551</v>
      </c>
      <c r="G52" s="13" t="s">
        <v>66</v>
      </c>
      <c r="H52" s="17" t="s">
        <v>552</v>
      </c>
      <c r="I52" s="4" t="s">
        <v>553</v>
      </c>
      <c r="J52" s="4" t="s">
        <v>554</v>
      </c>
      <c r="K52" s="4" t="s">
        <v>555</v>
      </c>
      <c r="L52" s="4" t="s">
        <v>556</v>
      </c>
      <c r="M52" s="4" t="s">
        <v>557</v>
      </c>
      <c r="N52" s="4" t="s">
        <v>558</v>
      </c>
      <c r="O52" s="4" t="s">
        <v>559</v>
      </c>
      <c r="P52" s="4" t="s">
        <v>560</v>
      </c>
      <c r="Q52" s="4" t="s">
        <v>561</v>
      </c>
      <c r="R52" s="4" t="s">
        <v>562</v>
      </c>
      <c r="S52" s="4" t="s">
        <v>563</v>
      </c>
      <c r="T52" s="4" t="s">
        <v>564</v>
      </c>
      <c r="U52" s="4" t="s">
        <v>565</v>
      </c>
      <c r="V52" s="4" t="s">
        <v>566</v>
      </c>
      <c r="W52" s="4" t="s">
        <v>567</v>
      </c>
      <c r="X52" s="4" t="s">
        <v>568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</row>
    <row r="53" ht="15.75" customHeight="1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</row>
    <row r="54" ht="15.75" customHeight="1">
      <c r="A54" s="15" t="s">
        <v>569</v>
      </c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4"/>
    </row>
    <row r="55" ht="15.75" customHeight="1">
      <c r="A55" s="10">
        <v>1.0</v>
      </c>
      <c r="B55" s="3" t="s">
        <v>570</v>
      </c>
      <c r="C55" s="4"/>
      <c r="D55" s="4"/>
      <c r="E55" s="11" t="s">
        <v>64</v>
      </c>
      <c r="F55" s="11" t="s">
        <v>571</v>
      </c>
      <c r="G55" s="13" t="s">
        <v>66</v>
      </c>
      <c r="H55" s="17" t="s">
        <v>572</v>
      </c>
      <c r="I55" s="4" t="s">
        <v>573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</row>
    <row r="56" ht="15.75" customHeight="1">
      <c r="A56" s="10">
        <v>4.0</v>
      </c>
      <c r="B56" s="3" t="s">
        <v>574</v>
      </c>
      <c r="C56" s="4"/>
      <c r="D56" s="4"/>
      <c r="E56" s="11" t="s">
        <v>64</v>
      </c>
      <c r="F56" s="11" t="s">
        <v>575</v>
      </c>
      <c r="G56" s="13" t="s">
        <v>66</v>
      </c>
      <c r="H56" s="17" t="s">
        <v>576</v>
      </c>
      <c r="I56" s="4" t="s">
        <v>577</v>
      </c>
      <c r="J56" s="4" t="s">
        <v>578</v>
      </c>
      <c r="K56" s="4" t="s">
        <v>579</v>
      </c>
      <c r="L56" s="4" t="s">
        <v>580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</row>
    <row r="57" ht="15.75" customHeight="1">
      <c r="A57" s="10">
        <v>3.0</v>
      </c>
      <c r="B57" s="3" t="s">
        <v>581</v>
      </c>
      <c r="C57" s="4"/>
      <c r="D57" s="4"/>
      <c r="E57" s="11" t="s">
        <v>64</v>
      </c>
      <c r="F57" s="19" t="s">
        <v>582</v>
      </c>
      <c r="G57" s="13" t="s">
        <v>66</v>
      </c>
      <c r="H57" s="13" t="s">
        <v>583</v>
      </c>
      <c r="I57" s="4" t="s">
        <v>584</v>
      </c>
      <c r="J57" s="4" t="s">
        <v>585</v>
      </c>
      <c r="K57" s="4" t="s">
        <v>586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</row>
    <row r="58" ht="15.75" customHeight="1">
      <c r="A58" s="10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</row>
    <row r="59" ht="15.75" customHeight="1">
      <c r="A59" s="15" t="s">
        <v>587</v>
      </c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4"/>
    </row>
    <row r="60" ht="15.75" customHeight="1">
      <c r="A60" s="10">
        <f t="shared" ref="A60:A76" si="3">COUNTA(I60:BF60)</f>
        <v>6</v>
      </c>
      <c r="B60" s="3" t="s">
        <v>581</v>
      </c>
      <c r="C60" s="4"/>
      <c r="D60" s="4"/>
      <c r="E60" s="11" t="s">
        <v>64</v>
      </c>
      <c r="F60" s="12" t="s">
        <v>588</v>
      </c>
      <c r="G60" s="13" t="s">
        <v>66</v>
      </c>
      <c r="H60" s="17" t="s">
        <v>589</v>
      </c>
      <c r="I60" s="4" t="s">
        <v>590</v>
      </c>
      <c r="J60" s="4" t="s">
        <v>591</v>
      </c>
      <c r="K60" s="4" t="s">
        <v>592</v>
      </c>
      <c r="L60" s="4" t="s">
        <v>593</v>
      </c>
      <c r="M60" s="4" t="s">
        <v>594</v>
      </c>
      <c r="N60" s="4" t="s">
        <v>595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 ht="15.75" customHeight="1">
      <c r="A61" s="10">
        <f t="shared" si="3"/>
        <v>1</v>
      </c>
      <c r="B61" s="14" t="s">
        <v>596</v>
      </c>
      <c r="C61" s="4"/>
      <c r="D61" s="4"/>
      <c r="E61" s="11" t="s">
        <v>64</v>
      </c>
      <c r="F61" s="11" t="s">
        <v>597</v>
      </c>
      <c r="G61" s="13" t="s">
        <v>66</v>
      </c>
      <c r="H61" s="17" t="s">
        <v>598</v>
      </c>
      <c r="I61" s="4" t="s">
        <v>599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 ht="15.75" customHeight="1">
      <c r="A62" s="10">
        <f t="shared" si="3"/>
        <v>2</v>
      </c>
      <c r="B62" s="3" t="s">
        <v>600</v>
      </c>
      <c r="C62" s="4"/>
      <c r="D62" s="4"/>
      <c r="E62" s="11" t="s">
        <v>64</v>
      </c>
      <c r="F62" s="11" t="s">
        <v>601</v>
      </c>
      <c r="G62" s="13" t="s">
        <v>66</v>
      </c>
      <c r="H62" s="17" t="s">
        <v>602</v>
      </c>
      <c r="I62" s="4" t="s">
        <v>603</v>
      </c>
      <c r="J62" s="4" t="s">
        <v>604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63" ht="15.75" customHeight="1">
      <c r="A63" s="10">
        <f t="shared" si="3"/>
        <v>10</v>
      </c>
      <c r="B63" s="3" t="s">
        <v>605</v>
      </c>
      <c r="C63" s="4"/>
      <c r="D63" s="4"/>
      <c r="E63" s="11" t="s">
        <v>64</v>
      </c>
      <c r="F63" s="11" t="s">
        <v>606</v>
      </c>
      <c r="G63" s="13" t="s">
        <v>66</v>
      </c>
      <c r="H63" s="17" t="s">
        <v>607</v>
      </c>
      <c r="I63" s="4" t="s">
        <v>608</v>
      </c>
      <c r="J63" s="4" t="s">
        <v>609</v>
      </c>
      <c r="K63" s="4" t="s">
        <v>610</v>
      </c>
      <c r="L63" s="4" t="s">
        <v>611</v>
      </c>
      <c r="M63" s="4" t="s">
        <v>612</v>
      </c>
      <c r="N63" s="4" t="s">
        <v>613</v>
      </c>
      <c r="O63" s="4" t="s">
        <v>614</v>
      </c>
      <c r="P63" s="4" t="s">
        <v>615</v>
      </c>
      <c r="Q63" s="4" t="s">
        <v>616</v>
      </c>
      <c r="R63" s="4" t="s">
        <v>617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</row>
    <row r="64" ht="15.75" customHeight="1">
      <c r="A64" s="10">
        <f t="shared" si="3"/>
        <v>5</v>
      </c>
      <c r="B64" s="3" t="s">
        <v>618</v>
      </c>
      <c r="C64" s="4"/>
      <c r="D64" s="4"/>
      <c r="E64" s="11" t="s">
        <v>64</v>
      </c>
      <c r="F64" s="11" t="s">
        <v>619</v>
      </c>
      <c r="G64" s="13" t="s">
        <v>66</v>
      </c>
      <c r="H64" s="17" t="s">
        <v>620</v>
      </c>
      <c r="I64" s="4" t="s">
        <v>621</v>
      </c>
      <c r="J64" s="4" t="s">
        <v>622</v>
      </c>
      <c r="K64" s="4" t="s">
        <v>623</v>
      </c>
      <c r="L64" s="4" t="s">
        <v>624</v>
      </c>
      <c r="M64" s="4" t="s">
        <v>625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</row>
    <row r="65" ht="15.75" customHeight="1">
      <c r="A65" s="10">
        <f t="shared" si="3"/>
        <v>1</v>
      </c>
      <c r="B65" s="3" t="s">
        <v>626</v>
      </c>
      <c r="C65" s="4"/>
      <c r="D65" s="4"/>
      <c r="E65" s="11" t="s">
        <v>64</v>
      </c>
      <c r="F65" s="11" t="s">
        <v>627</v>
      </c>
      <c r="G65" s="13" t="s">
        <v>66</v>
      </c>
      <c r="H65" s="17" t="s">
        <v>628</v>
      </c>
      <c r="I65" s="4" t="s">
        <v>629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</row>
    <row r="66" ht="15.75" customHeight="1">
      <c r="A66" s="10">
        <f t="shared" si="3"/>
        <v>1</v>
      </c>
      <c r="B66" s="3" t="s">
        <v>630</v>
      </c>
      <c r="C66" s="4"/>
      <c r="D66" s="4"/>
      <c r="E66" s="11" t="s">
        <v>64</v>
      </c>
      <c r="F66" s="11" t="s">
        <v>631</v>
      </c>
      <c r="G66" s="13" t="s">
        <v>66</v>
      </c>
      <c r="H66" s="17" t="s">
        <v>632</v>
      </c>
      <c r="I66" s="4" t="s">
        <v>633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</row>
    <row r="67" ht="15.75" customHeight="1">
      <c r="A67" s="10">
        <f t="shared" si="3"/>
        <v>3</v>
      </c>
      <c r="B67" s="3" t="s">
        <v>634</v>
      </c>
      <c r="C67" s="4"/>
      <c r="D67" s="4"/>
      <c r="E67" s="11" t="s">
        <v>64</v>
      </c>
      <c r="F67" s="11" t="s">
        <v>635</v>
      </c>
      <c r="G67" s="13" t="s">
        <v>66</v>
      </c>
      <c r="H67" s="17" t="s">
        <v>636</v>
      </c>
      <c r="I67" s="4" t="s">
        <v>637</v>
      </c>
      <c r="J67" s="4" t="s">
        <v>638</v>
      </c>
      <c r="K67" s="4" t="s">
        <v>639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</row>
    <row r="68" ht="15.0" customHeight="1">
      <c r="A68" s="10">
        <f t="shared" si="3"/>
        <v>11</v>
      </c>
      <c r="B68" s="3" t="s">
        <v>640</v>
      </c>
      <c r="C68" s="4"/>
      <c r="D68" s="4"/>
      <c r="E68" s="11" t="s">
        <v>64</v>
      </c>
      <c r="F68" s="12" t="s">
        <v>641</v>
      </c>
      <c r="G68" s="13" t="s">
        <v>66</v>
      </c>
      <c r="H68" s="17" t="s">
        <v>642</v>
      </c>
      <c r="I68" s="4" t="s">
        <v>643</v>
      </c>
      <c r="J68" s="4" t="s">
        <v>644</v>
      </c>
      <c r="K68" s="4" t="s">
        <v>645</v>
      </c>
      <c r="L68" s="4" t="s">
        <v>646</v>
      </c>
      <c r="M68" s="11" t="s">
        <v>5</v>
      </c>
      <c r="N68" s="4" t="s">
        <v>647</v>
      </c>
      <c r="O68" s="4" t="s">
        <v>648</v>
      </c>
      <c r="P68" s="4" t="s">
        <v>649</v>
      </c>
      <c r="Q68" s="4" t="s">
        <v>650</v>
      </c>
      <c r="R68" s="4" t="s">
        <v>651</v>
      </c>
      <c r="S68" s="4" t="s">
        <v>652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</row>
    <row r="69" ht="15.75" customHeight="1">
      <c r="A69" s="10">
        <f t="shared" si="3"/>
        <v>2</v>
      </c>
      <c r="B69" s="3" t="s">
        <v>653</v>
      </c>
      <c r="C69" s="4"/>
      <c r="D69" s="4"/>
      <c r="E69" s="11" t="s">
        <v>64</v>
      </c>
      <c r="F69" s="11" t="s">
        <v>654</v>
      </c>
      <c r="G69" s="13" t="s">
        <v>66</v>
      </c>
      <c r="H69" s="17" t="s">
        <v>655</v>
      </c>
      <c r="I69" s="4" t="s">
        <v>656</v>
      </c>
      <c r="J69" s="4" t="s">
        <v>657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</row>
    <row r="70" ht="15.75" customHeight="1">
      <c r="A70" s="10">
        <f t="shared" si="3"/>
        <v>4</v>
      </c>
      <c r="B70" s="3" t="s">
        <v>658</v>
      </c>
      <c r="C70" s="4"/>
      <c r="D70" s="4"/>
      <c r="E70" s="11" t="s">
        <v>64</v>
      </c>
      <c r="F70" s="11" t="s">
        <v>659</v>
      </c>
      <c r="G70" s="13" t="s">
        <v>66</v>
      </c>
      <c r="H70" s="17" t="s">
        <v>660</v>
      </c>
      <c r="I70" s="4" t="s">
        <v>661</v>
      </c>
      <c r="J70" s="4" t="s">
        <v>662</v>
      </c>
      <c r="K70" s="4" t="s">
        <v>663</v>
      </c>
      <c r="L70" s="4" t="s">
        <v>664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</row>
    <row r="71" ht="15.75" customHeight="1">
      <c r="A71" s="10">
        <f t="shared" si="3"/>
        <v>3</v>
      </c>
      <c r="B71" s="3" t="s">
        <v>665</v>
      </c>
      <c r="C71" s="4"/>
      <c r="D71" s="4"/>
      <c r="E71" s="11" t="s">
        <v>64</v>
      </c>
      <c r="F71" s="11" t="s">
        <v>666</v>
      </c>
      <c r="G71" s="13" t="s">
        <v>66</v>
      </c>
      <c r="H71" s="17" t="s">
        <v>667</v>
      </c>
      <c r="I71" s="4" t="s">
        <v>668</v>
      </c>
      <c r="J71" s="4" t="s">
        <v>669</v>
      </c>
      <c r="K71" s="4" t="s">
        <v>670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</row>
    <row r="72" ht="15.75" customHeight="1">
      <c r="A72" s="10">
        <f t="shared" si="3"/>
        <v>5</v>
      </c>
      <c r="B72" s="3" t="s">
        <v>671</v>
      </c>
      <c r="C72" s="4"/>
      <c r="D72" s="4"/>
      <c r="E72" s="11" t="s">
        <v>64</v>
      </c>
      <c r="F72" s="11" t="s">
        <v>672</v>
      </c>
      <c r="G72" s="13" t="s">
        <v>66</v>
      </c>
      <c r="H72" s="17" t="s">
        <v>673</v>
      </c>
      <c r="I72" s="4" t="s">
        <v>674</v>
      </c>
      <c r="J72" s="4" t="s">
        <v>675</v>
      </c>
      <c r="K72" s="4" t="s">
        <v>676</v>
      </c>
      <c r="L72" s="4" t="s">
        <v>677</v>
      </c>
      <c r="M72" s="4"/>
      <c r="N72" s="4"/>
      <c r="O72" s="4"/>
      <c r="P72" s="4"/>
      <c r="Q72" s="4"/>
      <c r="R72" s="4"/>
      <c r="S72" s="4"/>
      <c r="T72" s="20" t="s">
        <v>678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</row>
    <row r="73" ht="15.75" customHeight="1">
      <c r="A73" s="10">
        <f t="shared" si="3"/>
        <v>2</v>
      </c>
      <c r="B73" s="3" t="s">
        <v>679</v>
      </c>
      <c r="C73" s="4"/>
      <c r="D73" s="4"/>
      <c r="E73" s="11" t="s">
        <v>64</v>
      </c>
      <c r="F73" s="11" t="s">
        <v>680</v>
      </c>
      <c r="G73" s="13" t="s">
        <v>66</v>
      </c>
      <c r="H73" s="17" t="s">
        <v>681</v>
      </c>
      <c r="I73" s="4" t="s">
        <v>682</v>
      </c>
      <c r="J73" s="4" t="s">
        <v>683</v>
      </c>
      <c r="K73" s="4"/>
      <c r="L73" s="4"/>
      <c r="M73" s="4"/>
      <c r="N73" s="4"/>
      <c r="O73" s="4"/>
      <c r="P73" s="4"/>
      <c r="Q73" s="4"/>
      <c r="R73" s="4"/>
      <c r="S73" s="4"/>
      <c r="T73" s="20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</row>
    <row r="74" ht="15.75" customHeight="1">
      <c r="A74" s="10">
        <f t="shared" si="3"/>
        <v>6</v>
      </c>
      <c r="B74" s="3" t="s">
        <v>684</v>
      </c>
      <c r="C74" s="4"/>
      <c r="D74" s="4"/>
      <c r="E74" s="11" t="s">
        <v>64</v>
      </c>
      <c r="F74" s="11" t="s">
        <v>685</v>
      </c>
      <c r="G74" s="13" t="s">
        <v>66</v>
      </c>
      <c r="H74" s="17" t="s">
        <v>686</v>
      </c>
      <c r="I74" s="4" t="s">
        <v>687</v>
      </c>
      <c r="J74" s="4" t="s">
        <v>688</v>
      </c>
      <c r="K74" s="4" t="s">
        <v>689</v>
      </c>
      <c r="L74" s="4" t="s">
        <v>690</v>
      </c>
      <c r="M74" s="4" t="s">
        <v>691</v>
      </c>
      <c r="N74" s="4" t="s">
        <v>692</v>
      </c>
      <c r="O74" s="4"/>
      <c r="P74" s="4"/>
      <c r="Q74" s="4"/>
      <c r="R74" s="4"/>
      <c r="S74" s="4"/>
      <c r="T74" s="20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</row>
    <row r="75" ht="15.75" customHeight="1">
      <c r="A75" s="10">
        <f t="shared" si="3"/>
        <v>4</v>
      </c>
      <c r="B75" s="3" t="s">
        <v>693</v>
      </c>
      <c r="C75" s="4"/>
      <c r="D75" s="4"/>
      <c r="E75" s="11" t="s">
        <v>64</v>
      </c>
      <c r="F75" s="11" t="s">
        <v>694</v>
      </c>
      <c r="G75" s="13" t="s">
        <v>66</v>
      </c>
      <c r="H75" s="17" t="s">
        <v>695</v>
      </c>
      <c r="I75" s="4" t="s">
        <v>696</v>
      </c>
      <c r="J75" s="4" t="s">
        <v>697</v>
      </c>
      <c r="K75" s="4" t="s">
        <v>698</v>
      </c>
      <c r="L75" s="4" t="s">
        <v>699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</row>
    <row r="76" ht="15.75" customHeight="1">
      <c r="A76" s="10">
        <f t="shared" si="3"/>
        <v>3</v>
      </c>
      <c r="B76" s="3" t="s">
        <v>700</v>
      </c>
      <c r="C76" s="4"/>
      <c r="D76" s="4"/>
      <c r="E76" s="11" t="s">
        <v>64</v>
      </c>
      <c r="F76" s="12" t="s">
        <v>701</v>
      </c>
      <c r="G76" s="13" t="s">
        <v>66</v>
      </c>
      <c r="H76" s="17" t="s">
        <v>702</v>
      </c>
      <c r="I76" s="4" t="s">
        <v>703</v>
      </c>
      <c r="J76" s="4" t="s">
        <v>704</v>
      </c>
      <c r="K76" s="4" t="s">
        <v>705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</row>
    <row r="78" ht="15.75" customHeight="1">
      <c r="A78" s="8" t="s">
        <v>706</v>
      </c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ht="15.75" customHeight="1">
      <c r="A79" s="15" t="s">
        <v>707</v>
      </c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</row>
    <row r="80" ht="15.75" customHeight="1">
      <c r="A80" s="10">
        <f>COUNTA(I80:BJ80)</f>
        <v>53</v>
      </c>
      <c r="B80" s="3" t="s">
        <v>708</v>
      </c>
      <c r="C80" s="4"/>
      <c r="D80" s="3" t="s">
        <v>709</v>
      </c>
      <c r="E80" s="11" t="s">
        <v>64</v>
      </c>
      <c r="F80" s="12" t="s">
        <v>710</v>
      </c>
      <c r="G80" s="13" t="s">
        <v>66</v>
      </c>
      <c r="H80" s="17" t="s">
        <v>711</v>
      </c>
      <c r="I80" s="4" t="s">
        <v>712</v>
      </c>
      <c r="J80" s="4" t="s">
        <v>713</v>
      </c>
      <c r="K80" s="4" t="s">
        <v>714</v>
      </c>
      <c r="L80" s="4" t="s">
        <v>715</v>
      </c>
      <c r="M80" s="4" t="s">
        <v>716</v>
      </c>
      <c r="N80" s="4" t="s">
        <v>717</v>
      </c>
      <c r="O80" s="4" t="s">
        <v>718</v>
      </c>
      <c r="P80" s="4" t="s">
        <v>719</v>
      </c>
      <c r="Q80" s="4" t="s">
        <v>720</v>
      </c>
      <c r="R80" s="4" t="s">
        <v>721</v>
      </c>
      <c r="S80" s="4" t="s">
        <v>722</v>
      </c>
      <c r="T80" s="4" t="s">
        <v>723</v>
      </c>
      <c r="U80" s="4" t="s">
        <v>724</v>
      </c>
      <c r="V80" s="4" t="s">
        <v>725</v>
      </c>
      <c r="W80" s="4" t="s">
        <v>726</v>
      </c>
      <c r="X80" s="4" t="s">
        <v>727</v>
      </c>
      <c r="Y80" s="4" t="s">
        <v>728</v>
      </c>
      <c r="Z80" s="4" t="s">
        <v>729</v>
      </c>
      <c r="AA80" s="4" t="s">
        <v>730</v>
      </c>
      <c r="AB80" s="4" t="s">
        <v>731</v>
      </c>
      <c r="AC80" s="4" t="s">
        <v>732</v>
      </c>
      <c r="AD80" s="4" t="s">
        <v>733</v>
      </c>
      <c r="AE80" s="4" t="s">
        <v>734</v>
      </c>
      <c r="AF80" s="4" t="s">
        <v>735</v>
      </c>
      <c r="AG80" s="11" t="s">
        <v>42</v>
      </c>
      <c r="AH80" s="4" t="s">
        <v>736</v>
      </c>
      <c r="AI80" s="4" t="s">
        <v>737</v>
      </c>
      <c r="AJ80" s="4" t="s">
        <v>738</v>
      </c>
      <c r="AK80" s="4" t="s">
        <v>739</v>
      </c>
      <c r="AL80" s="4" t="s">
        <v>740</v>
      </c>
      <c r="AM80" s="4" t="s">
        <v>741</v>
      </c>
      <c r="AN80" s="4" t="s">
        <v>742</v>
      </c>
      <c r="AO80" s="4" t="s">
        <v>743</v>
      </c>
      <c r="AP80" s="4" t="s">
        <v>744</v>
      </c>
      <c r="AQ80" s="4" t="s">
        <v>745</v>
      </c>
      <c r="AR80" s="4" t="s">
        <v>746</v>
      </c>
      <c r="AS80" s="4" t="s">
        <v>747</v>
      </c>
      <c r="AT80" s="4" t="s">
        <v>748</v>
      </c>
      <c r="AU80" s="4" t="s">
        <v>749</v>
      </c>
      <c r="AV80" s="4" t="s">
        <v>750</v>
      </c>
      <c r="AW80" s="4" t="s">
        <v>751</v>
      </c>
      <c r="AX80" s="4" t="s">
        <v>752</v>
      </c>
      <c r="AY80" s="4" t="s">
        <v>753</v>
      </c>
      <c r="AZ80" s="4" t="s">
        <v>754</v>
      </c>
      <c r="BA80" s="4" t="s">
        <v>755</v>
      </c>
      <c r="BB80" s="4" t="s">
        <v>756</v>
      </c>
      <c r="BC80" s="4" t="s">
        <v>757</v>
      </c>
      <c r="BD80" s="4" t="s">
        <v>758</v>
      </c>
      <c r="BE80" s="4" t="s">
        <v>759</v>
      </c>
      <c r="BF80" s="4" t="s">
        <v>760</v>
      </c>
      <c r="BG80" s="4" t="s">
        <v>761</v>
      </c>
      <c r="BH80" s="4" t="s">
        <v>762</v>
      </c>
      <c r="BI80" s="4" t="s">
        <v>763</v>
      </c>
      <c r="BJ80" s="4"/>
      <c r="BK80" s="4"/>
      <c r="BL80" s="4"/>
      <c r="BM80" s="4"/>
      <c r="BN80" s="4"/>
      <c r="BO80" s="4"/>
    </row>
    <row r="81" ht="15.75" customHeight="1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</row>
    <row r="82" ht="15.75" customHeight="1">
      <c r="A82" s="15" t="s">
        <v>764</v>
      </c>
      <c r="B82" s="1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</row>
    <row r="83" ht="15.75" customHeight="1">
      <c r="A83" s="10">
        <f>COUNTA(I83:BJ83)</f>
        <v>1</v>
      </c>
      <c r="B83" s="14" t="s">
        <v>765</v>
      </c>
      <c r="C83" s="4"/>
      <c r="D83" s="4" t="s">
        <v>766</v>
      </c>
      <c r="E83" s="21" t="s">
        <v>767</v>
      </c>
      <c r="F83" s="22"/>
      <c r="G83" s="4"/>
      <c r="H83" s="4"/>
      <c r="I83" s="4" t="s">
        <v>768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</row>
    <row r="84" ht="15.75" customHeight="1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</row>
    <row r="85" ht="15.75" customHeight="1">
      <c r="A85" s="15" t="s">
        <v>769</v>
      </c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</row>
    <row r="86" ht="15.75" customHeight="1">
      <c r="A86" s="10">
        <f t="shared" ref="A86:A87" si="4">COUNTA(I86:BJ86)</f>
        <v>1</v>
      </c>
      <c r="B86" s="14" t="s">
        <v>770</v>
      </c>
      <c r="C86" s="4"/>
      <c r="D86" s="23" t="s">
        <v>771</v>
      </c>
      <c r="E86" s="11" t="s">
        <v>64</v>
      </c>
      <c r="F86" s="24" t="str">
        <f>HYPERLINK("https://www.digikey.se/product-detail/en/vishay-semiconductor-diodes-division/BZX85B15-TR/BZX85B15-TRGITR-ND/4828436","BZX85B15-TR")</f>
        <v>BZX85B15-TR</v>
      </c>
      <c r="G86" s="13" t="s">
        <v>66</v>
      </c>
      <c r="H86" s="25" t="str">
        <f>HYPERLINK("https://www.mouser.se/ProductDetail/Vishay-Semiconductors/BZX85B15-TR?qs=sGAEpiMZZMtQ8nqTKtFS%2FKE3JtglsWdkZ1z2mxmVoek%3D","BZX85B15-TR")</f>
        <v>BZX85B15-TR</v>
      </c>
      <c r="I86" s="4" t="s">
        <v>772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</row>
    <row r="87" ht="15.75" customHeight="1">
      <c r="A87" s="10">
        <f t="shared" si="4"/>
        <v>1</v>
      </c>
      <c r="B87" s="14" t="s">
        <v>773</v>
      </c>
      <c r="C87" s="4"/>
      <c r="D87" s="23" t="s">
        <v>774</v>
      </c>
      <c r="E87" s="11" t="s">
        <v>64</v>
      </c>
      <c r="F87" s="24" t="str">
        <f>HYPERLINK("https://www.digikey.se/product-detail/en/vishay-semiconductor-diodes-division/BZX85C6V8-TR/BZX85C6V8-TRGITR-ND/4828500","BZX85C6V8-TR")</f>
        <v>BZX85C6V8-TR</v>
      </c>
      <c r="G87" s="13" t="s">
        <v>66</v>
      </c>
      <c r="H87" s="25" t="str">
        <f>HYPERLINK("https://www.mouser.se/ProductDetail/Vishay-Semiconductors/BZX85C6V8-TR?qs=sGAEpiMZZMtQ8nqTKtFS%2FKE3JtglsWdkVLwjkv2uFQM%3D","BZX85C6V8-TR")</f>
        <v>BZX85C6V8-TR</v>
      </c>
      <c r="I87" s="4" t="s">
        <v>775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</row>
    <row r="88" ht="15.75" customHeight="1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</row>
    <row r="89" ht="15.75" customHeight="1">
      <c r="A89" s="15" t="s">
        <v>776</v>
      </c>
      <c r="B89" s="15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</row>
    <row r="90" ht="15.75" customHeight="1">
      <c r="A90" s="10">
        <f>COUNTA(I90:BJ90)</f>
        <v>4</v>
      </c>
      <c r="B90" s="26" t="s">
        <v>777</v>
      </c>
      <c r="C90" s="4"/>
      <c r="D90" s="4" t="s">
        <v>778</v>
      </c>
      <c r="E90" s="11" t="s">
        <v>64</v>
      </c>
      <c r="F90" s="12" t="s">
        <v>779</v>
      </c>
      <c r="G90" s="13" t="s">
        <v>66</v>
      </c>
      <c r="H90" s="17" t="s">
        <v>780</v>
      </c>
      <c r="I90" s="4" t="s">
        <v>781</v>
      </c>
      <c r="J90" s="4" t="s">
        <v>782</v>
      </c>
      <c r="K90" s="4" t="s">
        <v>783</v>
      </c>
      <c r="L90" s="4" t="s">
        <v>784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</row>
    <row r="91" ht="15.75" customHeight="1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</row>
    <row r="92" ht="15.75" customHeight="1">
      <c r="A92" s="15" t="s">
        <v>785</v>
      </c>
      <c r="B92" s="15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</row>
    <row r="93" ht="15.75" customHeight="1">
      <c r="A93" s="10">
        <f>COUNTA(I93:BJ93)</f>
        <v>19</v>
      </c>
      <c r="B93" s="3" t="s">
        <v>786</v>
      </c>
      <c r="C93" s="4"/>
      <c r="D93" s="4" t="s">
        <v>787</v>
      </c>
      <c r="E93" s="11" t="s">
        <v>64</v>
      </c>
      <c r="F93" s="12" t="s">
        <v>788</v>
      </c>
      <c r="G93" s="13" t="s">
        <v>66</v>
      </c>
      <c r="H93" s="13" t="s">
        <v>789</v>
      </c>
      <c r="I93" s="4" t="s">
        <v>790</v>
      </c>
      <c r="J93" s="4" t="s">
        <v>791</v>
      </c>
      <c r="K93" s="4" t="s">
        <v>792</v>
      </c>
      <c r="L93" s="4" t="s">
        <v>793</v>
      </c>
      <c r="M93" s="4" t="s">
        <v>794</v>
      </c>
      <c r="N93" s="4" t="s">
        <v>795</v>
      </c>
      <c r="O93" s="4" t="s">
        <v>796</v>
      </c>
      <c r="P93" s="4" t="s">
        <v>797</v>
      </c>
      <c r="Q93" s="4" t="s">
        <v>798</v>
      </c>
      <c r="R93" s="4" t="s">
        <v>799</v>
      </c>
      <c r="S93" s="4" t="s">
        <v>800</v>
      </c>
      <c r="T93" s="4" t="s">
        <v>801</v>
      </c>
      <c r="U93" s="4" t="s">
        <v>802</v>
      </c>
      <c r="V93" s="4" t="s">
        <v>803</v>
      </c>
      <c r="W93" s="4" t="s">
        <v>804</v>
      </c>
      <c r="X93" s="4" t="s">
        <v>805</v>
      </c>
      <c r="Y93" s="4" t="s">
        <v>806</v>
      </c>
      <c r="Z93" s="4" t="s">
        <v>807</v>
      </c>
      <c r="AA93" s="4" t="s">
        <v>808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</row>
    <row r="94" ht="15.75" customHeight="1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</row>
    <row r="95" ht="15.75" customHeight="1">
      <c r="A95" s="8" t="s">
        <v>809</v>
      </c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ht="15.75" customHeight="1">
      <c r="A96" s="10">
        <f t="shared" ref="A96:A98" si="5">COUNTA(I96:BJ96)</f>
        <v>1</v>
      </c>
      <c r="B96" s="14" t="s">
        <v>810</v>
      </c>
      <c r="C96" s="4"/>
      <c r="D96" s="4" t="s">
        <v>811</v>
      </c>
      <c r="E96" s="11" t="s">
        <v>64</v>
      </c>
      <c r="F96" s="12" t="s">
        <v>812</v>
      </c>
      <c r="G96" s="13" t="s">
        <v>66</v>
      </c>
      <c r="H96" s="17" t="s">
        <v>813</v>
      </c>
      <c r="I96" s="4" t="s">
        <v>814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</row>
    <row r="97" ht="15.75" customHeight="1">
      <c r="A97" s="10">
        <f t="shared" si="5"/>
        <v>1</v>
      </c>
      <c r="B97" s="3" t="s">
        <v>815</v>
      </c>
      <c r="C97" s="4"/>
      <c r="D97" s="4" t="s">
        <v>816</v>
      </c>
      <c r="E97" s="11" t="s">
        <v>64</v>
      </c>
      <c r="F97" s="12" t="s">
        <v>817</v>
      </c>
      <c r="G97" s="13" t="s">
        <v>66</v>
      </c>
      <c r="H97" s="17" t="s">
        <v>818</v>
      </c>
      <c r="I97" s="4" t="s">
        <v>819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</row>
    <row r="98" ht="15.75" customHeight="1">
      <c r="A98" s="10">
        <f t="shared" si="5"/>
        <v>1</v>
      </c>
      <c r="B98" s="3" t="s">
        <v>820</v>
      </c>
      <c r="C98" s="4"/>
      <c r="D98" s="4" t="s">
        <v>821</v>
      </c>
      <c r="E98" s="11" t="s">
        <v>64</v>
      </c>
      <c r="F98" s="12" t="s">
        <v>822</v>
      </c>
      <c r="G98" s="13" t="s">
        <v>66</v>
      </c>
      <c r="H98" s="17" t="s">
        <v>823</v>
      </c>
      <c r="I98" s="4" t="s">
        <v>824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</row>
    <row r="99" ht="15.75" customHeight="1">
      <c r="A99" s="10">
        <v>1.0</v>
      </c>
      <c r="B99" s="3" t="s">
        <v>825</v>
      </c>
      <c r="C99" s="4"/>
      <c r="D99" s="4"/>
      <c r="E99" s="21" t="s">
        <v>767</v>
      </c>
      <c r="F99" s="21"/>
      <c r="G99" s="4"/>
      <c r="H99" s="4"/>
      <c r="I99" s="4" t="s">
        <v>61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</row>
    <row r="100" ht="15.75" customHeight="1">
      <c r="A100" s="10">
        <v>1.0</v>
      </c>
      <c r="B100" s="3" t="s">
        <v>825</v>
      </c>
      <c r="C100" s="4"/>
      <c r="D100" s="4" t="s">
        <v>826</v>
      </c>
      <c r="E100" s="11" t="s">
        <v>64</v>
      </c>
      <c r="F100" s="11" t="s">
        <v>827</v>
      </c>
      <c r="G100" s="13" t="s">
        <v>66</v>
      </c>
      <c r="H100" s="17" t="s">
        <v>828</v>
      </c>
      <c r="I100" s="4" t="s">
        <v>829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</row>
    <row r="101" ht="15.75" customHeight="1">
      <c r="A101" s="10">
        <f t="shared" ref="A101:A106" si="6">COUNTA(I101:BJ101)</f>
        <v>2</v>
      </c>
      <c r="B101" s="14" t="s">
        <v>830</v>
      </c>
      <c r="C101" s="4"/>
      <c r="D101" s="4" t="s">
        <v>831</v>
      </c>
      <c r="E101" s="11" t="s">
        <v>64</v>
      </c>
      <c r="F101" s="12" t="s">
        <v>832</v>
      </c>
      <c r="G101" s="13" t="s">
        <v>66</v>
      </c>
      <c r="H101" s="17" t="s">
        <v>833</v>
      </c>
      <c r="I101" s="4" t="s">
        <v>834</v>
      </c>
      <c r="J101" s="4" t="s">
        <v>835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</row>
    <row r="102" ht="15.75" customHeight="1">
      <c r="A102" s="10">
        <f t="shared" si="6"/>
        <v>4</v>
      </c>
      <c r="B102" s="14" t="s">
        <v>836</v>
      </c>
      <c r="C102" s="4"/>
      <c r="D102" s="4" t="s">
        <v>837</v>
      </c>
      <c r="E102" s="11" t="s">
        <v>64</v>
      </c>
      <c r="F102" s="27" t="s">
        <v>838</v>
      </c>
      <c r="G102" s="13" t="s">
        <v>66</v>
      </c>
      <c r="H102" s="17" t="s">
        <v>839</v>
      </c>
      <c r="I102" s="4" t="s">
        <v>840</v>
      </c>
      <c r="J102" s="4" t="s">
        <v>841</v>
      </c>
      <c r="K102" s="4" t="s">
        <v>842</v>
      </c>
      <c r="L102" s="4" t="s">
        <v>843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</row>
    <row r="103" ht="15.75" customHeight="1">
      <c r="A103" s="10">
        <f t="shared" si="6"/>
        <v>1</v>
      </c>
      <c r="B103" s="4" t="s">
        <v>844</v>
      </c>
      <c r="C103" s="4"/>
      <c r="D103" s="4"/>
      <c r="E103" s="21" t="s">
        <v>767</v>
      </c>
      <c r="F103" s="21"/>
      <c r="G103" s="4"/>
      <c r="H103" s="4"/>
      <c r="I103" s="4" t="s">
        <v>845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</row>
    <row r="104" ht="15.75" customHeight="1">
      <c r="A104" s="10">
        <f t="shared" si="6"/>
        <v>1</v>
      </c>
      <c r="B104" s="3" t="s">
        <v>846</v>
      </c>
      <c r="C104" s="4"/>
      <c r="D104" s="4" t="s">
        <v>847</v>
      </c>
      <c r="E104" s="28" t="s">
        <v>848</v>
      </c>
      <c r="F104" s="28"/>
      <c r="G104" s="29"/>
      <c r="H104" s="29"/>
      <c r="I104" s="4" t="s">
        <v>849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</row>
    <row r="105" ht="15.75" customHeight="1">
      <c r="A105" s="10">
        <f t="shared" si="6"/>
        <v>1</v>
      </c>
      <c r="B105" s="3" t="s">
        <v>850</v>
      </c>
      <c r="C105" s="4"/>
      <c r="D105" s="4"/>
      <c r="E105" s="4"/>
      <c r="F105" s="4"/>
      <c r="G105" s="4"/>
      <c r="H105" s="4"/>
      <c r="I105" s="11" t="s">
        <v>52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</row>
    <row r="106" ht="15.75" customHeight="1">
      <c r="A106" s="10">
        <f t="shared" si="6"/>
        <v>2</v>
      </c>
      <c r="B106" s="3" t="s">
        <v>851</v>
      </c>
      <c r="C106" s="4"/>
      <c r="D106" s="4"/>
      <c r="E106" s="4"/>
      <c r="F106" s="4"/>
      <c r="G106" s="4"/>
      <c r="H106" s="4"/>
      <c r="I106" s="11" t="s">
        <v>55</v>
      </c>
      <c r="J106" s="11" t="s">
        <v>56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</row>
    <row r="107" ht="15.75" customHeight="1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</row>
    <row r="108" ht="15.75" customHeight="1">
      <c r="A108" s="8" t="s">
        <v>852</v>
      </c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ht="15.75" customHeight="1">
      <c r="A109" s="10">
        <f t="shared" ref="A109:A115" si="7">COUNTA(I109:BJ109)</f>
        <v>16</v>
      </c>
      <c r="B109" s="14" t="s">
        <v>853</v>
      </c>
      <c r="C109" s="4"/>
      <c r="D109" s="4"/>
      <c r="E109" s="30" t="s">
        <v>854</v>
      </c>
      <c r="F109" s="31" t="s">
        <v>855</v>
      </c>
      <c r="G109" s="21" t="s">
        <v>767</v>
      </c>
      <c r="H109" s="21"/>
      <c r="I109" s="4" t="s">
        <v>856</v>
      </c>
      <c r="J109" s="4" t="s">
        <v>857</v>
      </c>
      <c r="K109" s="4" t="s">
        <v>858</v>
      </c>
      <c r="L109" s="4" t="s">
        <v>859</v>
      </c>
      <c r="M109" s="11" t="s">
        <v>41</v>
      </c>
      <c r="N109" s="4" t="s">
        <v>860</v>
      </c>
      <c r="O109" s="4" t="s">
        <v>861</v>
      </c>
      <c r="P109" s="4" t="s">
        <v>862</v>
      </c>
      <c r="Q109" s="4" t="s">
        <v>863</v>
      </c>
      <c r="R109" s="4" t="s">
        <v>864</v>
      </c>
      <c r="S109" s="4" t="s">
        <v>865</v>
      </c>
      <c r="T109" s="4" t="s">
        <v>866</v>
      </c>
      <c r="U109" s="4" t="s">
        <v>867</v>
      </c>
      <c r="V109" s="4" t="s">
        <v>868</v>
      </c>
      <c r="W109" s="4" t="s">
        <v>869</v>
      </c>
      <c r="X109" s="4" t="s">
        <v>870</v>
      </c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</row>
    <row r="110" ht="15.75" customHeight="1">
      <c r="A110" s="10">
        <f t="shared" si="7"/>
        <v>37</v>
      </c>
      <c r="B110" s="14" t="s">
        <v>871</v>
      </c>
      <c r="C110" s="4"/>
      <c r="D110" s="4"/>
      <c r="E110" s="30" t="s">
        <v>854</v>
      </c>
      <c r="F110" s="31" t="s">
        <v>872</v>
      </c>
      <c r="G110" s="21" t="s">
        <v>767</v>
      </c>
      <c r="H110" s="21"/>
      <c r="I110" s="4" t="s">
        <v>873</v>
      </c>
      <c r="J110" s="4" t="s">
        <v>874</v>
      </c>
      <c r="K110" s="4" t="s">
        <v>875</v>
      </c>
      <c r="L110" s="4" t="s">
        <v>876</v>
      </c>
      <c r="M110" s="4" t="s">
        <v>877</v>
      </c>
      <c r="N110" s="4" t="s">
        <v>878</v>
      </c>
      <c r="O110" s="4" t="s">
        <v>879</v>
      </c>
      <c r="P110" s="4" t="s">
        <v>880</v>
      </c>
      <c r="Q110" s="4" t="s">
        <v>881</v>
      </c>
      <c r="R110" s="4" t="s">
        <v>882</v>
      </c>
      <c r="S110" s="4" t="s">
        <v>883</v>
      </c>
      <c r="T110" s="4" t="s">
        <v>884</v>
      </c>
      <c r="U110" s="4" t="s">
        <v>885</v>
      </c>
      <c r="V110" s="4" t="s">
        <v>886</v>
      </c>
      <c r="W110" s="4" t="s">
        <v>887</v>
      </c>
      <c r="X110" s="4" t="s">
        <v>888</v>
      </c>
      <c r="Y110" s="4" t="s">
        <v>889</v>
      </c>
      <c r="Z110" s="4" t="s">
        <v>890</v>
      </c>
      <c r="AA110" s="4" t="s">
        <v>891</v>
      </c>
      <c r="AB110" s="4" t="s">
        <v>892</v>
      </c>
      <c r="AC110" s="4" t="s">
        <v>893</v>
      </c>
      <c r="AD110" s="4" t="s">
        <v>894</v>
      </c>
      <c r="AE110" s="4" t="s">
        <v>895</v>
      </c>
      <c r="AF110" s="4" t="s">
        <v>896</v>
      </c>
      <c r="AG110" s="4" t="s">
        <v>897</v>
      </c>
      <c r="AH110" s="4" t="s">
        <v>898</v>
      </c>
      <c r="AI110" s="4" t="s">
        <v>899</v>
      </c>
      <c r="AJ110" s="4" t="s">
        <v>900</v>
      </c>
      <c r="AK110" s="11" t="s">
        <v>57</v>
      </c>
      <c r="AL110" s="4" t="s">
        <v>901</v>
      </c>
      <c r="AM110" s="4" t="s">
        <v>902</v>
      </c>
      <c r="AN110" s="4" t="s">
        <v>903</v>
      </c>
      <c r="AO110" s="4" t="s">
        <v>904</v>
      </c>
      <c r="AP110" s="4" t="s">
        <v>905</v>
      </c>
      <c r="AQ110" s="4" t="s">
        <v>906</v>
      </c>
      <c r="AR110" s="4" t="s">
        <v>907</v>
      </c>
      <c r="AS110" s="4" t="s">
        <v>908</v>
      </c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</row>
    <row r="111" ht="15.75" customHeight="1">
      <c r="A111" s="10">
        <f t="shared" si="7"/>
        <v>5</v>
      </c>
      <c r="B111" s="3" t="s">
        <v>909</v>
      </c>
      <c r="C111" s="4"/>
      <c r="D111" s="4"/>
      <c r="E111" s="21" t="s">
        <v>767</v>
      </c>
      <c r="F111" s="21"/>
      <c r="G111" s="4"/>
      <c r="H111" s="4"/>
      <c r="I111" s="4" t="s">
        <v>910</v>
      </c>
      <c r="J111" s="4" t="s">
        <v>911</v>
      </c>
      <c r="K111" s="4" t="s">
        <v>912</v>
      </c>
      <c r="L111" s="4" t="s">
        <v>913</v>
      </c>
      <c r="M111" s="4" t="s">
        <v>914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</row>
    <row r="112" ht="15.75" customHeight="1">
      <c r="A112" s="10">
        <f t="shared" si="7"/>
        <v>9</v>
      </c>
      <c r="B112" s="3" t="s">
        <v>915</v>
      </c>
      <c r="C112" s="4"/>
      <c r="D112" s="4"/>
      <c r="E112" s="21" t="s">
        <v>767</v>
      </c>
      <c r="F112" s="21"/>
      <c r="G112" s="4"/>
      <c r="H112" s="4"/>
      <c r="I112" s="4" t="s">
        <v>916</v>
      </c>
      <c r="J112" s="4" t="s">
        <v>917</v>
      </c>
      <c r="K112" s="4" t="s">
        <v>918</v>
      </c>
      <c r="L112" s="4" t="s">
        <v>919</v>
      </c>
      <c r="M112" s="4" t="s">
        <v>920</v>
      </c>
      <c r="N112" s="4" t="s">
        <v>921</v>
      </c>
      <c r="O112" s="11" t="s">
        <v>48</v>
      </c>
      <c r="P112" s="4" t="s">
        <v>922</v>
      </c>
      <c r="Q112" s="4" t="s">
        <v>923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</row>
    <row r="113" ht="15.75" customHeight="1">
      <c r="A113" s="10">
        <f t="shared" si="7"/>
        <v>1</v>
      </c>
      <c r="B113" s="14" t="s">
        <v>924</v>
      </c>
      <c r="C113" s="4"/>
      <c r="D113" s="4" t="s">
        <v>925</v>
      </c>
      <c r="E113" s="28" t="s">
        <v>848</v>
      </c>
      <c r="F113" s="28"/>
      <c r="G113" s="28"/>
      <c r="H113" s="28"/>
      <c r="I113" s="4" t="s">
        <v>926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</row>
    <row r="114" ht="15.75" customHeight="1">
      <c r="A114" s="10">
        <f t="shared" si="7"/>
        <v>1</v>
      </c>
      <c r="B114" s="14" t="s">
        <v>927</v>
      </c>
      <c r="C114" s="4"/>
      <c r="D114" s="4" t="s">
        <v>928</v>
      </c>
      <c r="E114" s="28" t="s">
        <v>848</v>
      </c>
      <c r="F114" s="28"/>
      <c r="G114" s="28"/>
      <c r="H114" s="28"/>
      <c r="I114" s="4" t="s">
        <v>929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</row>
    <row r="115" ht="15.75" customHeight="1">
      <c r="A115" s="10">
        <f t="shared" si="7"/>
        <v>1</v>
      </c>
      <c r="B115" s="14" t="s">
        <v>930</v>
      </c>
      <c r="C115" s="4"/>
      <c r="D115" s="4" t="s">
        <v>931</v>
      </c>
      <c r="E115" s="28" t="s">
        <v>848</v>
      </c>
      <c r="F115" s="28"/>
      <c r="G115" s="28"/>
      <c r="H115" s="28"/>
      <c r="I115" s="4" t="s">
        <v>932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</row>
    <row r="116" ht="15.75" customHeight="1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</row>
    <row r="117" ht="15.75" customHeight="1">
      <c r="A117" s="8" t="s">
        <v>933</v>
      </c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ht="15.75" customHeight="1">
      <c r="A118" s="10">
        <f t="shared" ref="A118:A120" si="8">COUNTA(I118:BJ118)</f>
        <v>1</v>
      </c>
      <c r="B118" s="3" t="s">
        <v>934</v>
      </c>
      <c r="C118" s="4"/>
      <c r="D118" s="4"/>
      <c r="E118" s="11" t="s">
        <v>64</v>
      </c>
      <c r="F118" s="11" t="s">
        <v>935</v>
      </c>
      <c r="G118" s="13" t="s">
        <v>66</v>
      </c>
      <c r="H118" s="17" t="s">
        <v>936</v>
      </c>
      <c r="I118" s="4" t="s">
        <v>937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</row>
    <row r="119" ht="15.75" customHeight="1">
      <c r="A119" s="10">
        <f t="shared" si="8"/>
        <v>1</v>
      </c>
      <c r="B119" s="3" t="s">
        <v>380</v>
      </c>
      <c r="C119" s="4"/>
      <c r="D119" s="4"/>
      <c r="E119" s="11" t="s">
        <v>64</v>
      </c>
      <c r="F119" s="11" t="s">
        <v>938</v>
      </c>
      <c r="G119" s="13" t="s">
        <v>66</v>
      </c>
      <c r="H119" s="17" t="s">
        <v>939</v>
      </c>
      <c r="I119" s="4" t="s">
        <v>940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</row>
    <row r="120" ht="15.75" customHeight="1">
      <c r="A120" s="10">
        <f t="shared" si="8"/>
        <v>1</v>
      </c>
      <c r="B120" s="3" t="s">
        <v>941</v>
      </c>
      <c r="C120" s="4"/>
      <c r="D120" s="4"/>
      <c r="E120" s="11" t="s">
        <v>64</v>
      </c>
      <c r="F120" s="11" t="s">
        <v>942</v>
      </c>
      <c r="G120" s="13" t="s">
        <v>66</v>
      </c>
      <c r="H120" s="17" t="s">
        <v>943</v>
      </c>
      <c r="I120" s="4" t="s">
        <v>944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</row>
    <row r="121" ht="15.75" customHeight="1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</row>
    <row r="122" ht="15.75" customHeight="1">
      <c r="A122" s="8" t="s">
        <v>945</v>
      </c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ht="15.75" customHeight="1">
      <c r="A123" s="10">
        <f t="shared" ref="A123:A127" si="9">COUNTA(I123:BJ123)</f>
        <v>2</v>
      </c>
      <c r="B123" s="3" t="s">
        <v>946</v>
      </c>
      <c r="C123" s="4"/>
      <c r="D123" s="4"/>
      <c r="E123" s="28" t="s">
        <v>848</v>
      </c>
      <c r="F123" s="28"/>
      <c r="G123" s="28"/>
      <c r="H123" s="28"/>
      <c r="I123" s="4" t="s">
        <v>947</v>
      </c>
      <c r="J123" s="4" t="s">
        <v>948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</row>
    <row r="124" ht="15.75" customHeight="1">
      <c r="A124" s="10">
        <f t="shared" si="9"/>
        <v>2</v>
      </c>
      <c r="B124" s="3" t="s">
        <v>949</v>
      </c>
      <c r="C124" s="4"/>
      <c r="D124" s="4"/>
      <c r="E124" s="28" t="s">
        <v>848</v>
      </c>
      <c r="F124" s="28"/>
      <c r="G124" s="28"/>
      <c r="H124" s="28"/>
      <c r="I124" s="4" t="s">
        <v>950</v>
      </c>
      <c r="J124" s="4" t="s">
        <v>950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</row>
    <row r="125" ht="15.75" customHeight="1">
      <c r="A125" s="10">
        <f t="shared" si="9"/>
        <v>1</v>
      </c>
      <c r="B125" s="3" t="s">
        <v>951</v>
      </c>
      <c r="C125" s="4"/>
      <c r="D125" s="4"/>
      <c r="E125" s="28" t="s">
        <v>848</v>
      </c>
      <c r="F125" s="28"/>
      <c r="G125" s="28"/>
      <c r="H125" s="28"/>
      <c r="I125" s="4" t="s">
        <v>952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</row>
    <row r="126" ht="15.75" customHeight="1">
      <c r="A126" s="10">
        <f t="shared" si="9"/>
        <v>1</v>
      </c>
      <c r="B126" s="3" t="s">
        <v>953</v>
      </c>
      <c r="C126" s="4"/>
      <c r="D126" s="4"/>
      <c r="E126" s="28" t="s">
        <v>848</v>
      </c>
      <c r="F126" s="28"/>
      <c r="G126" s="28"/>
      <c r="H126" s="28"/>
      <c r="I126" s="4" t="s">
        <v>954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</row>
    <row r="127" ht="15.75" customHeight="1">
      <c r="A127" s="10">
        <f t="shared" si="9"/>
        <v>1</v>
      </c>
      <c r="B127" s="3" t="s">
        <v>955</v>
      </c>
      <c r="C127" s="4"/>
      <c r="D127" s="4" t="s">
        <v>956</v>
      </c>
      <c r="E127" s="11" t="s">
        <v>64</v>
      </c>
      <c r="F127" s="11" t="s">
        <v>957</v>
      </c>
      <c r="G127" s="13" t="s">
        <v>66</v>
      </c>
      <c r="H127" s="13" t="s">
        <v>958</v>
      </c>
      <c r="I127" s="4" t="s">
        <v>959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</row>
    <row r="128" ht="15.75" customHeight="1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</row>
    <row r="129" ht="15.75" customHeight="1">
      <c r="A129" s="8" t="s">
        <v>960</v>
      </c>
      <c r="B129" s="3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ht="15.75" customHeight="1">
      <c r="A130" s="10">
        <f t="shared" ref="A130:A134" si="10">COUNTA(I130:BJ130)</f>
        <v>1</v>
      </c>
      <c r="B130" s="3" t="s">
        <v>961</v>
      </c>
      <c r="C130" s="4"/>
      <c r="D130" s="4"/>
      <c r="E130" s="28" t="s">
        <v>848</v>
      </c>
      <c r="F130" s="28"/>
      <c r="G130" s="28"/>
      <c r="H130" s="28"/>
      <c r="I130" s="4" t="s">
        <v>962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</row>
    <row r="131" ht="15.75" customHeight="1">
      <c r="A131" s="10">
        <f t="shared" si="10"/>
        <v>1</v>
      </c>
      <c r="B131" s="3" t="s">
        <v>963</v>
      </c>
      <c r="C131" s="4"/>
      <c r="D131" s="4"/>
      <c r="E131" s="28" t="s">
        <v>848</v>
      </c>
      <c r="F131" s="28"/>
      <c r="G131" s="28"/>
      <c r="H131" s="28"/>
      <c r="I131" s="4" t="s">
        <v>964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</row>
    <row r="132" ht="15.75" customHeight="1">
      <c r="A132" s="10">
        <f t="shared" si="10"/>
        <v>1</v>
      </c>
      <c r="B132" s="3" t="s">
        <v>965</v>
      </c>
      <c r="C132" s="4"/>
      <c r="D132" s="4"/>
      <c r="E132" s="28" t="s">
        <v>848</v>
      </c>
      <c r="F132" s="28"/>
      <c r="G132" s="28"/>
      <c r="H132" s="28"/>
      <c r="I132" s="4" t="s">
        <v>966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</row>
    <row r="133" ht="15.75" customHeight="1">
      <c r="A133" s="10">
        <f t="shared" si="10"/>
        <v>21</v>
      </c>
      <c r="B133" s="3" t="s">
        <v>967</v>
      </c>
      <c r="C133" s="4"/>
      <c r="D133" s="33" t="s">
        <v>968</v>
      </c>
      <c r="E133" s="4"/>
      <c r="F133" s="4"/>
      <c r="G133" s="13" t="s">
        <v>66</v>
      </c>
      <c r="H133" s="17" t="s">
        <v>969</v>
      </c>
      <c r="I133" s="4" t="s">
        <v>970</v>
      </c>
      <c r="J133" s="4" t="s">
        <v>971</v>
      </c>
      <c r="K133" s="4" t="s">
        <v>972</v>
      </c>
      <c r="L133" s="4" t="s">
        <v>973</v>
      </c>
      <c r="M133" s="4" t="s">
        <v>974</v>
      </c>
      <c r="N133" s="4" t="s">
        <v>975</v>
      </c>
      <c r="O133" s="4" t="s">
        <v>976</v>
      </c>
      <c r="P133" s="4" t="s">
        <v>977</v>
      </c>
      <c r="Q133" s="4" t="s">
        <v>978</v>
      </c>
      <c r="R133" s="4" t="s">
        <v>979</v>
      </c>
      <c r="S133" s="4" t="s">
        <v>980</v>
      </c>
      <c r="T133" s="4" t="s">
        <v>981</v>
      </c>
      <c r="U133" s="4" t="s">
        <v>982</v>
      </c>
      <c r="V133" s="4" t="s">
        <v>983</v>
      </c>
      <c r="W133" s="4" t="s">
        <v>984</v>
      </c>
      <c r="X133" s="4" t="s">
        <v>985</v>
      </c>
      <c r="Y133" s="4" t="s">
        <v>986</v>
      </c>
      <c r="Z133" s="4" t="s">
        <v>987</v>
      </c>
      <c r="AA133" s="4" t="s">
        <v>988</v>
      </c>
      <c r="AB133" s="4" t="s">
        <v>989</v>
      </c>
      <c r="AC133" s="4" t="s">
        <v>990</v>
      </c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 ht="15.75" customHeight="1">
      <c r="A134" s="10">
        <f t="shared" si="10"/>
        <v>1</v>
      </c>
      <c r="B134" s="3" t="s">
        <v>991</v>
      </c>
      <c r="C134" s="4"/>
      <c r="D134" s="4" t="s">
        <v>992</v>
      </c>
      <c r="E134" s="4"/>
      <c r="F134" s="4"/>
      <c r="G134" s="4"/>
      <c r="H134" s="4"/>
      <c r="I134" s="4" t="s">
        <v>993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</row>
    <row r="135" ht="15.75" customHeight="1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</row>
    <row r="136" ht="15.75" customHeight="1">
      <c r="A136" s="8" t="s">
        <v>994</v>
      </c>
      <c r="B136" s="3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</row>
    <row r="137" ht="15.75" customHeight="1">
      <c r="A137" s="10">
        <f t="shared" ref="A137:A140" si="11">COUNTA(I137:BJ137)</f>
        <v>1</v>
      </c>
      <c r="B137" s="3" t="s">
        <v>995</v>
      </c>
      <c r="C137" s="4"/>
      <c r="D137" s="4"/>
      <c r="E137" s="28" t="s">
        <v>848</v>
      </c>
      <c r="F137" s="28"/>
      <c r="G137" s="29"/>
      <c r="H137" s="29"/>
      <c r="I137" s="4" t="s">
        <v>996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</row>
    <row r="138" ht="15.75" customHeight="1">
      <c r="A138" s="10">
        <f t="shared" si="11"/>
        <v>1</v>
      </c>
      <c r="B138" s="3" t="s">
        <v>997</v>
      </c>
      <c r="C138" s="4"/>
      <c r="D138" s="4"/>
      <c r="E138" s="28" t="s">
        <v>848</v>
      </c>
      <c r="F138" s="28"/>
      <c r="G138" s="29"/>
      <c r="H138" s="29"/>
      <c r="I138" s="4" t="s">
        <v>998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</row>
    <row r="139" ht="15.75" customHeight="1">
      <c r="A139" s="10">
        <f t="shared" si="11"/>
        <v>5</v>
      </c>
      <c r="B139" s="14" t="s">
        <v>999</v>
      </c>
      <c r="C139" s="4"/>
      <c r="D139" s="4"/>
      <c r="E139" s="28" t="s">
        <v>848</v>
      </c>
      <c r="F139" s="28"/>
      <c r="G139" s="29"/>
      <c r="H139" s="29"/>
      <c r="I139" s="4" t="s">
        <v>1000</v>
      </c>
      <c r="J139" s="4" t="s">
        <v>1001</v>
      </c>
      <c r="K139" s="4" t="s">
        <v>1002</v>
      </c>
      <c r="L139" s="4" t="s">
        <v>1003</v>
      </c>
      <c r="M139" s="4" t="s">
        <v>1004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 ht="15.75" customHeight="1">
      <c r="A140" s="10">
        <f t="shared" si="11"/>
        <v>1</v>
      </c>
      <c r="B140" s="14" t="s">
        <v>1005</v>
      </c>
      <c r="C140" s="4"/>
      <c r="D140" s="4"/>
      <c r="E140" s="28" t="s">
        <v>848</v>
      </c>
      <c r="F140" s="28"/>
      <c r="G140" s="29"/>
      <c r="H140" s="29"/>
      <c r="I140" s="4" t="s">
        <v>1006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</row>
    <row r="141" ht="15.75" customHeight="1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 ht="15.75" customHeight="1">
      <c r="A142" s="8" t="s">
        <v>1007</v>
      </c>
      <c r="B142" s="3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</row>
    <row r="143" ht="15.75" customHeight="1">
      <c r="A143" s="10">
        <f>COUNTA(I143:BJ143)</f>
        <v>1</v>
      </c>
      <c r="B143" s="3" t="s">
        <v>1008</v>
      </c>
      <c r="C143" s="4"/>
      <c r="D143" s="4"/>
      <c r="E143" s="28" t="s">
        <v>848</v>
      </c>
      <c r="F143" s="28"/>
      <c r="G143" s="29"/>
      <c r="H143" s="29"/>
      <c r="I143" s="4" t="s">
        <v>1009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 ht="15.75" customHeight="1">
      <c r="A144" s="10">
        <v>1.0</v>
      </c>
      <c r="B144" s="3" t="s">
        <v>1010</v>
      </c>
      <c r="C144" s="4"/>
      <c r="D144" s="4"/>
      <c r="E144" s="34"/>
      <c r="F144" s="34"/>
      <c r="G144" s="4"/>
      <c r="H144" s="4"/>
      <c r="I144" s="11" t="s">
        <v>1011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</row>
    <row r="145" ht="15.75" customHeight="1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</row>
    <row r="146" ht="15.75" customHeight="1">
      <c r="A146" s="8" t="s">
        <v>1012</v>
      </c>
      <c r="B146" s="3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</row>
    <row r="147" ht="15.75" customHeight="1">
      <c r="A147" s="10">
        <v>2.0</v>
      </c>
      <c r="B147" s="3" t="s">
        <v>1013</v>
      </c>
      <c r="C147" s="4"/>
      <c r="D147" s="4"/>
      <c r="E147" s="11" t="s">
        <v>64</v>
      </c>
      <c r="F147" s="12" t="s">
        <v>1014</v>
      </c>
      <c r="G147" s="13" t="s">
        <v>66</v>
      </c>
      <c r="H147" s="13" t="s">
        <v>1015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 ht="15.75" customHeight="1">
      <c r="A148" s="10">
        <v>19.0</v>
      </c>
      <c r="B148" s="3" t="s">
        <v>1016</v>
      </c>
      <c r="C148" s="4"/>
      <c r="D148" s="4"/>
      <c r="E148" s="11" t="s">
        <v>64</v>
      </c>
      <c r="F148" s="12" t="s">
        <v>1017</v>
      </c>
      <c r="G148" s="13" t="s">
        <v>66</v>
      </c>
      <c r="H148" s="13" t="s">
        <v>1018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</row>
    <row r="149" ht="15.75" customHeight="1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</row>
    <row r="150" ht="15.75" customHeight="1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 ht="15.75" customHeight="1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 ht="15.75" customHeight="1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 ht="15.75" customHeight="1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 ht="15.75" customHeight="1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 ht="15.75" customHeight="1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 ht="15.75" customHeight="1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 ht="15.75" customHeight="1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</row>
    <row r="158" ht="15.75" customHeight="1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 ht="15.75" customHeight="1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 ht="15.75" customHeight="1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 ht="15.75" customHeight="1">
      <c r="A161" s="3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 ht="15.75" customHeight="1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 ht="15.75" customHeight="1">
      <c r="A163" s="3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 ht="15.75" customHeight="1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 ht="15.75" customHeight="1">
      <c r="A165" s="3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 ht="15.75" customHeight="1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 ht="15.75" customHeight="1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 ht="15.75" customHeight="1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 ht="15.75" customHeight="1">
      <c r="A169" s="3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 ht="15.75" customHeight="1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 ht="15.75" customHeight="1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 ht="15.75" customHeight="1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 ht="15.75" customHeight="1">
      <c r="A173" s="3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 ht="15.75" customHeight="1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 ht="15.75" customHeight="1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 ht="15.75" customHeight="1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 ht="15.75" customHeight="1">
      <c r="A177" s="3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 ht="15.75" customHeight="1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 ht="15.75" customHeight="1">
      <c r="A179" s="3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 ht="15.75" customHeight="1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 ht="15.75" customHeight="1">
      <c r="A181" s="3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 ht="15.75" customHeight="1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 ht="15.75" customHeight="1">
      <c r="A183" s="3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 ht="15.75" customHeight="1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 ht="15.75" customHeight="1">
      <c r="A185" s="3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 ht="15.75" customHeight="1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 ht="15.75" customHeight="1">
      <c r="A187" s="3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 ht="15.75" customHeight="1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 ht="15.75" customHeight="1">
      <c r="A189" s="3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 ht="15.75" customHeight="1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 ht="15.75" customHeight="1">
      <c r="A191" s="3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 ht="15.75" customHeight="1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 ht="15.75" customHeight="1">
      <c r="A193" s="3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 ht="15.75" customHeight="1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 ht="15.75" customHeight="1">
      <c r="A195" s="3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 ht="15.75" customHeight="1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 ht="15.75" customHeight="1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 ht="15.75" customHeight="1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 ht="15.75" customHeight="1">
      <c r="A199" s="3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 ht="15.75" customHeight="1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 ht="15.75" customHeight="1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 ht="15.75" customHeight="1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 ht="15.75" customHeight="1">
      <c r="A203" s="3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 ht="15.75" customHeight="1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 ht="15.75" customHeight="1">
      <c r="A205" s="3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 ht="15.75" customHeight="1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 ht="15.75" customHeight="1">
      <c r="A207" s="3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 ht="15.75" customHeight="1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 ht="15.75" customHeight="1">
      <c r="A209" s="3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 ht="15.75" customHeight="1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 ht="15.75" customHeight="1">
      <c r="A211" s="3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 ht="15.75" customHeight="1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 ht="15.75" customHeight="1">
      <c r="A213" s="3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 ht="15.75" customHeight="1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 ht="15.75" customHeight="1">
      <c r="A215" s="3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 ht="15.75" customHeight="1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 ht="15.75" customHeight="1">
      <c r="A217" s="3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 ht="15.75" customHeight="1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 ht="15.75" customHeight="1">
      <c r="A219" s="3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 ht="15.75" customHeight="1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 ht="15.75" customHeight="1">
      <c r="A221" s="3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 ht="15.75" customHeight="1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 ht="15.75" customHeight="1">
      <c r="A223" s="3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 ht="15.75" customHeight="1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 ht="15.75" customHeight="1">
      <c r="A225" s="3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 ht="15.75" customHeight="1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 ht="15.75" customHeight="1">
      <c r="A227" s="3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 ht="15.75" customHeight="1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 ht="15.75" customHeight="1">
      <c r="A229" s="3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 ht="15.75" customHeight="1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 ht="15.75" customHeight="1">
      <c r="A231" s="3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 ht="15.75" customHeight="1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 ht="15.75" customHeight="1">
      <c r="A233" s="3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 ht="15.75" customHeight="1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 ht="15.75" customHeight="1">
      <c r="A235" s="3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 ht="15.75" customHeight="1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 ht="15.75" customHeight="1">
      <c r="A237" s="3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 ht="15.75" customHeight="1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 ht="15.75" customHeight="1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 ht="15.75" customHeight="1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 ht="15.75" customHeight="1">
      <c r="A241" s="3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 ht="15.75" customHeight="1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 ht="15.75" customHeight="1">
      <c r="A243" s="3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 ht="15.75" customHeight="1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 ht="15.75" customHeight="1">
      <c r="A245" s="3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 ht="15.75" customHeight="1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 ht="15.75" customHeight="1">
      <c r="A247" s="3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 ht="15.75" customHeight="1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 ht="15.75" customHeight="1">
      <c r="A249" s="3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 ht="15.75" customHeight="1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 ht="15.75" customHeight="1">
      <c r="A251" s="3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 ht="15.75" customHeight="1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 ht="15.75" customHeight="1">
      <c r="A253" s="3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 ht="15.75" customHeight="1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 ht="15.75" customHeight="1">
      <c r="A255" s="3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 ht="15.75" customHeight="1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 ht="15.75" customHeight="1">
      <c r="A257" s="3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 ht="15.75" customHeight="1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 ht="15.75" customHeight="1">
      <c r="A259" s="3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 ht="15.75" customHeight="1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 ht="15.75" customHeight="1">
      <c r="A261" s="3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 ht="15.75" customHeight="1">
      <c r="A262" s="3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 ht="15.75" customHeight="1">
      <c r="A263" s="3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 ht="15.75" customHeight="1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 ht="15.75" customHeight="1">
      <c r="A265" s="3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 ht="15.75" customHeight="1">
      <c r="A266" s="3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 ht="15.75" customHeight="1">
      <c r="A267" s="3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 ht="15.75" customHeight="1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 ht="15.75" customHeight="1">
      <c r="A269" s="3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 ht="15.75" customHeight="1">
      <c r="A270" s="3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 ht="15.75" customHeight="1">
      <c r="A271" s="3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 ht="15.75" customHeight="1">
      <c r="A272" s="3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 ht="15.75" customHeight="1">
      <c r="A273" s="3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 ht="15.75" customHeight="1">
      <c r="A274" s="3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 ht="15.75" customHeight="1">
      <c r="A275" s="3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 ht="15.75" customHeight="1">
      <c r="A276" s="3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 ht="15.75" customHeight="1">
      <c r="A277" s="3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 ht="15.75" customHeight="1">
      <c r="A278" s="3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 ht="15.75" customHeight="1">
      <c r="A279" s="3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 ht="15.75" customHeight="1">
      <c r="A280" s="3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 ht="15.75" customHeight="1">
      <c r="A281" s="3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 ht="15.75" customHeight="1">
      <c r="A282" s="3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 ht="15.75" customHeight="1">
      <c r="A283" s="3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 ht="15.75" customHeight="1">
      <c r="A284" s="3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 ht="15.75" customHeight="1">
      <c r="A285" s="3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 ht="15.75" customHeight="1">
      <c r="A286" s="3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 ht="15.75" customHeight="1">
      <c r="A287" s="3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 ht="15.75" customHeight="1">
      <c r="A288" s="3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 ht="15.75" customHeight="1">
      <c r="A289" s="3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 ht="15.75" customHeight="1">
      <c r="A290" s="3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 ht="15.75" customHeight="1">
      <c r="A291" s="3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 ht="15.75" customHeight="1">
      <c r="A292" s="3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 ht="15.75" customHeight="1">
      <c r="A293" s="3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 ht="15.75" customHeight="1">
      <c r="A294" s="3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 ht="15.75" customHeight="1">
      <c r="A295" s="3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 ht="15.75" customHeight="1">
      <c r="A296" s="3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 ht="15.75" customHeight="1">
      <c r="A297" s="3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 ht="15.75" customHeight="1">
      <c r="A298" s="3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 ht="15.75" customHeight="1">
      <c r="A299" s="3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 ht="15.75" customHeight="1">
      <c r="A300" s="3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 ht="15.75" customHeight="1">
      <c r="A301" s="3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 ht="15.75" customHeight="1">
      <c r="A302" s="3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 ht="15.75" customHeight="1">
      <c r="A303" s="3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 ht="15.75" customHeight="1">
      <c r="A304" s="3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 ht="15.75" customHeight="1">
      <c r="A305" s="3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 ht="15.75" customHeight="1">
      <c r="A306" s="3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 ht="15.75" customHeight="1">
      <c r="A307" s="3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 ht="15.75" customHeight="1">
      <c r="A308" s="3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 ht="15.75" customHeight="1">
      <c r="A309" s="3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 ht="15.75" customHeight="1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 ht="15.75" customHeight="1">
      <c r="A311" s="3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 ht="15.75" customHeight="1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 ht="15.75" customHeight="1">
      <c r="A313" s="3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 ht="15.75" customHeight="1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 ht="15.75" customHeight="1">
      <c r="A315" s="3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 ht="15.75" customHeight="1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 ht="15.75" customHeight="1">
      <c r="A317" s="3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 ht="15.75" customHeight="1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 ht="15.75" customHeight="1">
      <c r="A319" s="3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 ht="15.75" customHeight="1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 ht="15.75" customHeight="1">
      <c r="A321" s="3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 ht="15.75" customHeight="1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 ht="15.75" customHeight="1">
      <c r="A323" s="3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 ht="15.75" customHeight="1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 ht="15.75" customHeight="1">
      <c r="A325" s="3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 ht="15.75" customHeight="1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 ht="15.75" customHeight="1">
      <c r="A327" s="3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 ht="15.75" customHeight="1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 ht="15.75" customHeight="1">
      <c r="A329" s="3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 ht="15.75" customHeight="1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 ht="15.75" customHeight="1">
      <c r="A331" s="3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 ht="15.75" customHeight="1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 ht="15.75" customHeight="1">
      <c r="A333" s="3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 ht="15.75" customHeight="1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 ht="15.75" customHeight="1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 ht="15.75" customHeight="1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 ht="15.75" customHeight="1">
      <c r="A337" s="3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 ht="15.75" customHeight="1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 ht="15.75" customHeight="1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 ht="15.75" customHeight="1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 ht="15.75" customHeight="1">
      <c r="A341" s="3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 ht="15.75" customHeight="1">
      <c r="A342" s="3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 ht="15.75" customHeight="1">
      <c r="A343" s="3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 ht="15.75" customHeight="1">
      <c r="A344" s="3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 ht="15.75" customHeight="1">
      <c r="A345" s="3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 ht="15.75" customHeight="1">
      <c r="A346" s="3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 ht="15.75" customHeight="1">
      <c r="A347" s="3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 ht="15.75" customHeight="1">
      <c r="A348" s="3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</row>
  </sheetData>
  <autoFilter ref="$A$1:$BI$155"/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5"/>
    <hyperlink r:id="rId39" ref="H45"/>
    <hyperlink r:id="rId40" ref="F46"/>
    <hyperlink r:id="rId41" ref="H46"/>
    <hyperlink r:id="rId42" ref="F47"/>
    <hyperlink r:id="rId43" ref="H47"/>
    <hyperlink r:id="rId44" ref="F48"/>
    <hyperlink r:id="rId45" ref="H48"/>
    <hyperlink r:id="rId46" ref="F49"/>
    <hyperlink r:id="rId47" ref="H49"/>
    <hyperlink r:id="rId48" ref="F50"/>
    <hyperlink r:id="rId49" ref="H50"/>
    <hyperlink r:id="rId50" ref="F51"/>
    <hyperlink r:id="rId51" ref="H51"/>
    <hyperlink r:id="rId52" ref="F52"/>
    <hyperlink r:id="rId53" ref="H52"/>
    <hyperlink r:id="rId54" ref="H55"/>
    <hyperlink r:id="rId55" ref="H56"/>
    <hyperlink r:id="rId56" ref="F60"/>
    <hyperlink r:id="rId57" ref="H60"/>
    <hyperlink r:id="rId58" ref="H61"/>
    <hyperlink r:id="rId59" ref="H62"/>
    <hyperlink r:id="rId60" ref="H63"/>
    <hyperlink r:id="rId61" ref="H64"/>
    <hyperlink r:id="rId62" ref="H65"/>
    <hyperlink r:id="rId63" ref="H66"/>
    <hyperlink r:id="rId64" ref="H67"/>
    <hyperlink r:id="rId65" ref="F68"/>
    <hyperlink r:id="rId66" ref="H68"/>
    <hyperlink r:id="rId67" ref="H69"/>
    <hyperlink r:id="rId68" ref="H70"/>
    <hyperlink r:id="rId69" ref="H74"/>
    <hyperlink r:id="rId70" ref="H75"/>
    <hyperlink r:id="rId71" ref="F76"/>
    <hyperlink r:id="rId72" ref="H76"/>
    <hyperlink r:id="rId73" ref="F80"/>
    <hyperlink r:id="rId74" ref="H80"/>
    <hyperlink r:id="rId75" ref="F90"/>
    <hyperlink r:id="rId76" ref="H90"/>
    <hyperlink r:id="rId77" ref="F93"/>
    <hyperlink r:id="rId78" ref="F96"/>
    <hyperlink r:id="rId79" ref="H96"/>
    <hyperlink r:id="rId80" ref="F97"/>
    <hyperlink r:id="rId81" ref="H97"/>
    <hyperlink r:id="rId82" ref="F98"/>
    <hyperlink r:id="rId83" ref="H98"/>
    <hyperlink r:id="rId84" ref="H100"/>
    <hyperlink r:id="rId85" ref="F101"/>
    <hyperlink r:id="rId86" ref="H101"/>
    <hyperlink r:id="rId87" ref="F102"/>
    <hyperlink r:id="rId88" ref="H102"/>
    <hyperlink r:id="rId89" ref="F109"/>
    <hyperlink r:id="rId90" ref="F110"/>
    <hyperlink r:id="rId91" ref="H118"/>
    <hyperlink r:id="rId92" ref="H119"/>
    <hyperlink r:id="rId93" ref="H133"/>
    <hyperlink r:id="rId94" ref="F147"/>
    <hyperlink r:id="rId95" ref="F148"/>
  </hyperlinks>
  <printOptions/>
  <pageMargins bottom="0.75" footer="0.0" header="0.0" left="0.7" right="0.7" top="0.75"/>
  <pageSetup paperSize="9" orientation="portrait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63"/>
    <col customWidth="1" min="3" max="3" width="17.13"/>
    <col customWidth="1" min="4" max="23" width="7.63"/>
  </cols>
  <sheetData>
    <row r="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 t="s">
        <v>2</v>
      </c>
      <c r="B2" s="2" t="s">
        <v>3</v>
      </c>
      <c r="C2" s="2" t="s">
        <v>4</v>
      </c>
    </row>
    <row r="3">
      <c r="A3" s="2" t="s">
        <v>5</v>
      </c>
      <c r="B3" s="2" t="s">
        <v>8</v>
      </c>
    </row>
    <row r="4">
      <c r="A4" s="2" t="s">
        <v>9</v>
      </c>
      <c r="B4" s="2" t="s">
        <v>8</v>
      </c>
    </row>
    <row r="5">
      <c r="A5" s="2" t="s">
        <v>10</v>
      </c>
      <c r="B5" s="2" t="s">
        <v>8</v>
      </c>
    </row>
    <row r="6">
      <c r="A6" s="2" t="s">
        <v>11</v>
      </c>
      <c r="B6" s="2" t="s">
        <v>8</v>
      </c>
    </row>
    <row r="7">
      <c r="A7" s="2" t="s">
        <v>12</v>
      </c>
      <c r="B7" s="2" t="s">
        <v>8</v>
      </c>
    </row>
    <row r="8">
      <c r="A8" s="2" t="s">
        <v>13</v>
      </c>
      <c r="B8" s="2" t="s">
        <v>8</v>
      </c>
    </row>
    <row r="9">
      <c r="A9" s="2" t="s">
        <v>15</v>
      </c>
      <c r="B9" s="2" t="s">
        <v>8</v>
      </c>
    </row>
    <row r="10">
      <c r="A10" s="2" t="s">
        <v>17</v>
      </c>
      <c r="B10" s="2" t="s">
        <v>8</v>
      </c>
    </row>
    <row r="11">
      <c r="A11" s="2" t="s">
        <v>22</v>
      </c>
      <c r="B11" s="2" t="s">
        <v>8</v>
      </c>
    </row>
    <row r="12">
      <c r="A12" s="2" t="s">
        <v>25</v>
      </c>
      <c r="B12" s="2" t="s">
        <v>8</v>
      </c>
    </row>
    <row r="13">
      <c r="A13" s="2" t="s">
        <v>29</v>
      </c>
      <c r="B13" s="2" t="s">
        <v>8</v>
      </c>
    </row>
    <row r="14">
      <c r="A14" s="2" t="s">
        <v>34</v>
      </c>
      <c r="B14" s="2" t="s">
        <v>8</v>
      </c>
    </row>
    <row r="15">
      <c r="A15" s="2" t="s">
        <v>35</v>
      </c>
      <c r="B15" s="2" t="s">
        <v>8</v>
      </c>
    </row>
    <row r="16">
      <c r="A16" s="2" t="s">
        <v>36</v>
      </c>
      <c r="B16" s="2" t="s">
        <v>8</v>
      </c>
    </row>
    <row r="17">
      <c r="A17" s="2" t="s">
        <v>37</v>
      </c>
      <c r="B17" s="2" t="s">
        <v>8</v>
      </c>
    </row>
    <row r="18">
      <c r="A18" s="2" t="s">
        <v>40</v>
      </c>
      <c r="B18" s="2" t="s">
        <v>8</v>
      </c>
    </row>
    <row r="19">
      <c r="A19" s="2" t="s">
        <v>41</v>
      </c>
      <c r="B19" s="2" t="s">
        <v>8</v>
      </c>
    </row>
    <row r="20">
      <c r="A20" s="2" t="s">
        <v>42</v>
      </c>
      <c r="B20" s="2" t="s">
        <v>8</v>
      </c>
    </row>
    <row r="21" ht="15.75" customHeight="1">
      <c r="A21" s="2" t="s">
        <v>43</v>
      </c>
      <c r="B21" s="2" t="s">
        <v>8</v>
      </c>
    </row>
    <row r="22" ht="15.75" customHeight="1">
      <c r="A22" s="2" t="s">
        <v>44</v>
      </c>
      <c r="B22" s="2" t="s">
        <v>8</v>
      </c>
    </row>
    <row r="23" ht="15.75" customHeight="1">
      <c r="A23" s="2" t="s">
        <v>45</v>
      </c>
      <c r="B23" s="2" t="s">
        <v>8</v>
      </c>
    </row>
    <row r="24" ht="15.75" customHeight="1">
      <c r="A24" s="2" t="s">
        <v>47</v>
      </c>
      <c r="B24" s="2" t="s">
        <v>8</v>
      </c>
    </row>
    <row r="25" ht="15.75" customHeight="1">
      <c r="A25" s="2" t="s">
        <v>48</v>
      </c>
      <c r="B25" s="2" t="s">
        <v>8</v>
      </c>
    </row>
    <row r="26" ht="15.75" customHeight="1">
      <c r="A26" s="2" t="s">
        <v>50</v>
      </c>
      <c r="B26" s="2" t="s">
        <v>8</v>
      </c>
    </row>
    <row r="27" ht="15.75" customHeight="1">
      <c r="A27" s="2" t="s">
        <v>51</v>
      </c>
      <c r="B27" s="2" t="s">
        <v>8</v>
      </c>
    </row>
    <row r="28" ht="15.75" customHeight="1">
      <c r="A28" s="2" t="s">
        <v>52</v>
      </c>
      <c r="B28" s="2" t="s">
        <v>8</v>
      </c>
    </row>
    <row r="29" ht="15.75" customHeight="1">
      <c r="A29" s="2" t="s">
        <v>53</v>
      </c>
      <c r="B29" s="2" t="s">
        <v>8</v>
      </c>
    </row>
    <row r="30" ht="15.75" customHeight="1">
      <c r="A30" s="2" t="s">
        <v>54</v>
      </c>
      <c r="B30" s="2" t="s">
        <v>8</v>
      </c>
    </row>
    <row r="31" ht="15.75" customHeight="1">
      <c r="A31" s="2" t="s">
        <v>52</v>
      </c>
      <c r="B31" s="2" t="s">
        <v>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" t="s">
        <v>55</v>
      </c>
      <c r="B32" s="2" t="s">
        <v>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2" t="s">
        <v>56</v>
      </c>
      <c r="B33" s="2" t="s">
        <v>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" t="s">
        <v>57</v>
      </c>
      <c r="B34" s="2" t="s">
        <v>58</v>
      </c>
      <c r="C34" s="2" t="s">
        <v>59</v>
      </c>
    </row>
    <row r="35" ht="15.75" customHeight="1">
      <c r="A35" s="2" t="s">
        <v>60</v>
      </c>
      <c r="B35" s="2" t="s">
        <v>58</v>
      </c>
      <c r="C35" s="2" t="s">
        <v>59</v>
      </c>
    </row>
    <row r="36" ht="15.75" customHeight="1">
      <c r="A36" s="2" t="s">
        <v>61</v>
      </c>
      <c r="B36" s="4" t="s">
        <v>62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9.63"/>
    <col customWidth="1" min="2" max="6" width="12.63"/>
  </cols>
  <sheetData>
    <row r="1">
      <c r="A1" s="1" t="s">
        <v>0</v>
      </c>
    </row>
    <row r="2">
      <c r="A2" s="2"/>
    </row>
    <row r="3" ht="15.0" customHeight="1">
      <c r="A3" s="1" t="s">
        <v>6</v>
      </c>
    </row>
    <row r="4" ht="15.0" customHeight="1">
      <c r="A4" s="5" t="s">
        <v>7</v>
      </c>
    </row>
    <row r="5" ht="15.0" customHeight="1">
      <c r="A5" s="5" t="s">
        <v>14</v>
      </c>
    </row>
    <row r="6" ht="15.0" customHeight="1">
      <c r="A6" s="5" t="s">
        <v>16</v>
      </c>
    </row>
    <row r="7" ht="15.0" customHeight="1">
      <c r="A7" s="5" t="s">
        <v>18</v>
      </c>
    </row>
    <row r="8" ht="15.0" customHeight="1">
      <c r="A8" s="5" t="s">
        <v>19</v>
      </c>
    </row>
    <row r="9" ht="15.0" customHeight="1">
      <c r="A9" s="5" t="s">
        <v>20</v>
      </c>
    </row>
    <row r="10" ht="15.0" customHeight="1">
      <c r="A10" s="5" t="s">
        <v>21</v>
      </c>
    </row>
    <row r="11" ht="15.0" customHeight="1">
      <c r="A11" s="5" t="s">
        <v>23</v>
      </c>
    </row>
    <row r="12" ht="15.0" customHeight="1">
      <c r="A12" s="5" t="s">
        <v>24</v>
      </c>
    </row>
    <row r="13" ht="15.0" customHeight="1">
      <c r="A13" s="5" t="s">
        <v>26</v>
      </c>
    </row>
    <row r="14" ht="15.0" customHeight="1">
      <c r="A14" s="5" t="s">
        <v>28</v>
      </c>
    </row>
    <row r="15" ht="15.0" customHeight="1">
      <c r="A15" s="5" t="s">
        <v>31</v>
      </c>
    </row>
    <row r="16" ht="15.0" customHeight="1">
      <c r="A16" s="5" t="s">
        <v>33</v>
      </c>
    </row>
    <row r="17" ht="15.0" customHeight="1">
      <c r="A17" s="5" t="s">
        <v>38</v>
      </c>
    </row>
    <row r="19">
      <c r="A19" s="6" t="s">
        <v>39</v>
      </c>
    </row>
    <row r="20">
      <c r="A20" s="7" t="s">
        <v>46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2020-01-30T17:17:50Z</dcterms:created>
  <dc:creator>saure</dc:creator>
</cp:coreProperties>
</file>