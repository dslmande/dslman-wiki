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480" yWindow="765" windowWidth="23955" windowHeight="14130" tabRatio="746" activeTab="1"/>
  </bookViews>
  <sheets>
    <sheet name="OB-R Top Level BOM" sheetId="5" r:id="rId1"/>
    <sheet name="OB-R Mainboard" sheetId="1" r:id="rId2"/>
    <sheet name="OB-R Voice Mobo" sheetId="6" r:id="rId3"/>
    <sheet name="OB-R Voice Card RevA" sheetId="2" r:id="rId4"/>
    <sheet name="OB-R DAC Board" sheetId="3" r:id="rId5"/>
    <sheet name="OB-R Panel" sheetId="10" r:id="rId6"/>
    <sheet name="Power Supply" sheetId="11" r:id="rId7"/>
    <sheet name="OB-R IO Board" sheetId="4" r:id="rId8"/>
    <sheet name="OB-R Enclosure" sheetId="7" r:id="rId9"/>
    <sheet name="Hardware" sheetId="8" r:id="rId10"/>
    <sheet name="Packaging" sheetId="9" r:id="rId11"/>
  </sheets>
  <definedNames>
    <definedName name="_xlnm.Print_Area" localSheetId="4">'OB-R DAC Board'!$B$2:$J$25</definedName>
  </definedNames>
  <calcPr calcId="144525"/>
</workbook>
</file>

<file path=xl/calcChain.xml><?xml version="1.0" encoding="utf-8"?>
<calcChain xmlns="http://schemas.openxmlformats.org/spreadsheetml/2006/main">
  <c r="I4" i="5" l="1"/>
  <c r="I14" i="5" s="1"/>
  <c r="I13" i="5"/>
  <c r="J13" i="5" s="1"/>
  <c r="I12" i="5"/>
  <c r="J12" i="5" s="1"/>
  <c r="I11" i="5"/>
  <c r="J11" i="5" s="1"/>
  <c r="J10" i="5"/>
  <c r="J9" i="5"/>
  <c r="I9" i="5"/>
  <c r="I8" i="5"/>
  <c r="J8" i="5" s="1"/>
  <c r="J19" i="11"/>
  <c r="L19" i="11"/>
  <c r="L18" i="11"/>
  <c r="J18" i="11"/>
  <c r="J16" i="11"/>
  <c r="J17" i="11"/>
  <c r="L16" i="11"/>
  <c r="L5" i="11"/>
  <c r="L7" i="11"/>
  <c r="L8" i="11"/>
  <c r="L9" i="11"/>
  <c r="L10" i="11"/>
  <c r="L11" i="11"/>
  <c r="L12" i="11"/>
  <c r="L13" i="11"/>
  <c r="L14" i="11"/>
  <c r="L15" i="11"/>
  <c r="L6" i="11"/>
  <c r="L4" i="11"/>
  <c r="J5" i="11"/>
  <c r="J7" i="11"/>
  <c r="J8" i="11"/>
  <c r="J9" i="11"/>
  <c r="J10" i="11"/>
  <c r="J11" i="11"/>
  <c r="J12" i="11"/>
  <c r="J13" i="11"/>
  <c r="J14" i="11"/>
  <c r="J15" i="11"/>
  <c r="J6" i="11"/>
  <c r="J4" i="11"/>
  <c r="L16" i="10"/>
  <c r="J16" i="10"/>
  <c r="L17" i="11"/>
  <c r="L3" i="11"/>
  <c r="L20" i="11" s="1"/>
  <c r="J3" i="11"/>
  <c r="J20" i="11" s="1"/>
  <c r="J6" i="10"/>
  <c r="J7" i="10"/>
  <c r="J8" i="10"/>
  <c r="J9" i="10"/>
  <c r="J10" i="10"/>
  <c r="J11" i="10"/>
  <c r="J12" i="10"/>
  <c r="J13" i="10"/>
  <c r="J14" i="10"/>
  <c r="J15" i="10"/>
  <c r="J17" i="10"/>
  <c r="J18" i="10"/>
  <c r="J5" i="10"/>
  <c r="J4" i="10"/>
  <c r="J3" i="10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5" i="2"/>
  <c r="K4" i="2"/>
  <c r="K3" i="2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5" i="6"/>
  <c r="J4" i="6"/>
  <c r="J3" i="6"/>
  <c r="J35" i="6" l="1"/>
  <c r="I5" i="5" s="1"/>
  <c r="J5" i="5" s="1"/>
  <c r="J19" i="10"/>
  <c r="I7" i="5" s="1"/>
  <c r="J4" i="5"/>
  <c r="K83" i="2"/>
  <c r="I6" i="5" s="1"/>
  <c r="J6" i="5" s="1"/>
  <c r="E10" i="5"/>
  <c r="D42" i="5" l="1"/>
  <c r="C37" i="5"/>
  <c r="L36" i="6"/>
  <c r="C35" i="5" s="1"/>
  <c r="M56" i="2"/>
  <c r="M84" i="2" s="1"/>
  <c r="C32" i="5" s="1"/>
  <c r="C31" i="5"/>
  <c r="C27" i="5" l="1"/>
  <c r="N5" i="5" l="1"/>
  <c r="N4" i="5"/>
  <c r="N3" i="5"/>
  <c r="F40" i="6"/>
  <c r="H40" i="6"/>
  <c r="L18" i="10" l="1"/>
  <c r="L17" i="10"/>
  <c r="L6" i="10"/>
  <c r="L7" i="10"/>
  <c r="L8" i="10"/>
  <c r="L9" i="10"/>
  <c r="L10" i="10"/>
  <c r="L20" i="10" s="1"/>
  <c r="C36" i="5" s="1"/>
  <c r="L12" i="10"/>
  <c r="L11" i="10"/>
  <c r="L13" i="10"/>
  <c r="L14" i="10"/>
  <c r="L15" i="10"/>
  <c r="L5" i="10"/>
  <c r="L4" i="10"/>
  <c r="L3" i="10"/>
  <c r="D13" i="5"/>
  <c r="E13" i="5" s="1"/>
  <c r="I8" i="9"/>
  <c r="I7" i="9"/>
  <c r="I6" i="9"/>
  <c r="I5" i="9"/>
  <c r="I4" i="9"/>
  <c r="I3" i="9"/>
  <c r="J12" i="8"/>
  <c r="J11" i="8"/>
  <c r="J9" i="8"/>
  <c r="J10" i="8"/>
  <c r="J3" i="8"/>
  <c r="J6" i="3"/>
  <c r="J7" i="3"/>
  <c r="J8" i="3"/>
  <c r="J9" i="3"/>
  <c r="J10" i="3"/>
  <c r="J19" i="3"/>
  <c r="J17" i="3"/>
  <c r="J11" i="3"/>
  <c r="J12" i="3"/>
  <c r="J13" i="3"/>
  <c r="J14" i="3"/>
  <c r="J15" i="3"/>
  <c r="J16" i="3"/>
  <c r="J18" i="3"/>
  <c r="J20" i="3"/>
  <c r="J21" i="3"/>
  <c r="J5" i="3"/>
  <c r="J4" i="3"/>
  <c r="J3" i="3"/>
  <c r="D9" i="5"/>
  <c r="E9" i="5" s="1"/>
  <c r="J20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5" i="4"/>
  <c r="J4" i="4"/>
  <c r="J3" i="4"/>
  <c r="I3" i="7"/>
  <c r="I5" i="7"/>
  <c r="I6" i="7"/>
  <c r="I4" i="7"/>
  <c r="M81" i="2"/>
  <c r="M82" i="2"/>
  <c r="L33" i="6"/>
  <c r="L34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8" i="6"/>
  <c r="L25" i="6"/>
  <c r="L26" i="6"/>
  <c r="L27" i="6"/>
  <c r="L29" i="6"/>
  <c r="L30" i="6"/>
  <c r="L31" i="6"/>
  <c r="L32" i="6"/>
  <c r="L5" i="6"/>
  <c r="L4" i="6"/>
  <c r="L3" i="6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3" i="2" l="1"/>
  <c r="D6" i="5" s="1"/>
  <c r="E6" i="5" s="1"/>
  <c r="L19" i="10"/>
  <c r="D7" i="5" s="1"/>
  <c r="J22" i="3"/>
  <c r="D8" i="5" s="1"/>
  <c r="E8" i="5" s="1"/>
  <c r="L35" i="6"/>
  <c r="D5" i="5" s="1"/>
  <c r="E5" i="5" s="1"/>
  <c r="D12" i="5"/>
  <c r="I7" i="7"/>
  <c r="E12" i="5" l="1"/>
  <c r="C39" i="5" s="1"/>
  <c r="D11" i="5"/>
  <c r="E11" i="5" s="1"/>
  <c r="C38" i="5"/>
  <c r="C33" i="5"/>
  <c r="D4" i="5"/>
  <c r="E4" i="5" s="1"/>
  <c r="C41" i="5" l="1"/>
  <c r="C42" i="5" s="1"/>
  <c r="E14" i="5"/>
  <c r="E15" i="5"/>
  <c r="E16" i="5" s="1"/>
  <c r="E17" i="5" s="1"/>
</calcChain>
</file>

<file path=xl/sharedStrings.xml><?xml version="1.0" encoding="utf-8"?>
<sst xmlns="http://schemas.openxmlformats.org/spreadsheetml/2006/main" count="2345" uniqueCount="860">
  <si>
    <t>Capacitor 470pF</t>
  </si>
  <si>
    <t>C1, C5, C10, C12, C17, C21, C25, C28</t>
  </si>
  <si>
    <t>TDK</t>
  </si>
  <si>
    <t>FG28C0G1H471JNT06</t>
  </si>
  <si>
    <t>Panasonic</t>
  </si>
  <si>
    <t>ECQ-E2223J</t>
  </si>
  <si>
    <t>Capacitor 0.1uF</t>
  </si>
  <si>
    <t>ECQ-E2104J</t>
  </si>
  <si>
    <t>Capacitor, 100pF</t>
  </si>
  <si>
    <t>C72, C78</t>
  </si>
  <si>
    <t>FG28C0G1H101JNT06</t>
  </si>
  <si>
    <t>C75, C76</t>
  </si>
  <si>
    <t>ECQ-E2103J</t>
  </si>
  <si>
    <t>$0.15</t>
  </si>
  <si>
    <t>Capacitor 10uF</t>
  </si>
  <si>
    <t>ECE-A1EKA100I</t>
  </si>
  <si>
    <t>Capacitor 10pF</t>
  </si>
  <si>
    <t>C80</t>
  </si>
  <si>
    <t>Fairchild</t>
  </si>
  <si>
    <t>1N4148</t>
  </si>
  <si>
    <t>$0.01</t>
  </si>
  <si>
    <t>Capacitor 47uF</t>
  </si>
  <si>
    <t>C81, C83</t>
  </si>
  <si>
    <t>ECA-1EM470I</t>
  </si>
  <si>
    <t>Yageo</t>
  </si>
  <si>
    <t>$0.10</t>
  </si>
  <si>
    <t>Header 20X2</t>
  </si>
  <si>
    <t>CN7B</t>
  </si>
  <si>
    <t>Molex</t>
  </si>
  <si>
    <t>63453-140LF</t>
  </si>
  <si>
    <t>D1</t>
  </si>
  <si>
    <t>Vishay</t>
  </si>
  <si>
    <t>D2, D3</t>
  </si>
  <si>
    <t>DAC, I/O, IO4</t>
  </si>
  <si>
    <t>Header, 3-Pin</t>
  </si>
  <si>
    <t>FAN</t>
  </si>
  <si>
    <t>LF347N</t>
  </si>
  <si>
    <t>IC1, IC3, IC5, IC7</t>
  </si>
  <si>
    <t>TI</t>
  </si>
  <si>
    <t>IC2, IC4, IC6, IC8, IC12, IC13, IC14, IC15</t>
  </si>
  <si>
    <t>Cool Audio</t>
  </si>
  <si>
    <t>TL084CN</t>
  </si>
  <si>
    <t>IC9, IC10, IC11, IC42, IC43</t>
  </si>
  <si>
    <t>SN74HC174N</t>
  </si>
  <si>
    <t>IC16, IC19, IC22, IC25, IC28, IC31, IC34, IC37, IC40</t>
  </si>
  <si>
    <t>IC17, IC18, IC20, IC21, IC23, IC24, IC26, IC27, IC29, IC30, IC32, IC33, IC35, IC36</t>
  </si>
  <si>
    <t>DG409DJ-E3</t>
  </si>
  <si>
    <t>$0.00</t>
  </si>
  <si>
    <t>IC38, IC39</t>
  </si>
  <si>
    <t>DG408DJ-E3</t>
  </si>
  <si>
    <t>$0.76</t>
  </si>
  <si>
    <t>IC41</t>
  </si>
  <si>
    <t>SN74LVC2G04DBVRG4</t>
  </si>
  <si>
    <t>IC100</t>
  </si>
  <si>
    <t>$0.17</t>
  </si>
  <si>
    <t>ST</t>
  </si>
  <si>
    <t>$0.18</t>
  </si>
  <si>
    <t>ISHIDDEN=T</t>
  </si>
  <si>
    <t>IO1, IO2, IO3</t>
  </si>
  <si>
    <t>Header, 4-Pin</t>
  </si>
  <si>
    <t>OLED</t>
  </si>
  <si>
    <t>Header, 10-Pin</t>
  </si>
  <si>
    <t>PWR</t>
  </si>
  <si>
    <t>26-64-4100</t>
  </si>
  <si>
    <t>BC557B</t>
  </si>
  <si>
    <t>Q1, Q3, Q5, Q6, Q7, Q8, Q9, Q10, Q11, Q12, Q13, Q14, Q15, Q16, Q18, Q21</t>
  </si>
  <si>
    <t>On Semi</t>
  </si>
  <si>
    <t>$0.04</t>
  </si>
  <si>
    <t>BC547B</t>
  </si>
  <si>
    <t>Q17, Q20</t>
  </si>
  <si>
    <t>Farichild</t>
  </si>
  <si>
    <t>J112</t>
  </si>
  <si>
    <t>Resistor 100k</t>
  </si>
  <si>
    <t>Resistor 10k</t>
  </si>
  <si>
    <t>Resistor 15k</t>
  </si>
  <si>
    <t>R3, R4, R11, R15, R20, R21, R29, R34, R97, R100, R103, R106, R109, R113, R117, R121</t>
  </si>
  <si>
    <t>Resistor 5.11k 1%</t>
  </si>
  <si>
    <t>R5, R22</t>
  </si>
  <si>
    <t>Resistor 511k</t>
  </si>
  <si>
    <t>R6, R23</t>
  </si>
  <si>
    <t>Xicon</t>
  </si>
  <si>
    <t>Resistor 20k 1%</t>
  </si>
  <si>
    <t>Resistor 470k</t>
  </si>
  <si>
    <t>R8, R25, R128, R139</t>
  </si>
  <si>
    <t>Resistor 4.7k</t>
  </si>
  <si>
    <t>R9, R26, R187</t>
  </si>
  <si>
    <t>Generic</t>
  </si>
  <si>
    <t>Resistor 820k</t>
  </si>
  <si>
    <t>R54, R55, R66, R67, R77, R84, R89, R96</t>
  </si>
  <si>
    <t>Resistor 33k</t>
  </si>
  <si>
    <t>R75, R79, R87, R91, R185, R186</t>
  </si>
  <si>
    <t>Resistor 3.3k</t>
  </si>
  <si>
    <t>R99, R102, R105, R108, R111, R115, R119, R123</t>
  </si>
  <si>
    <t>Resistor 22.1k</t>
  </si>
  <si>
    <t>Resistor 1M</t>
  </si>
  <si>
    <t>R126, R134</t>
  </si>
  <si>
    <t>Resistor 220k</t>
  </si>
  <si>
    <t>R127, R135</t>
  </si>
  <si>
    <t>Resistor 330k</t>
  </si>
  <si>
    <t>R130, R137</t>
  </si>
  <si>
    <t>Resistor 68k</t>
  </si>
  <si>
    <t>R131, R136, R152, R169</t>
  </si>
  <si>
    <t>Resistor 100k 0603</t>
  </si>
  <si>
    <t>Resistor 200k</t>
  </si>
  <si>
    <t>R147, R164</t>
  </si>
  <si>
    <t>R148, R165</t>
  </si>
  <si>
    <t>Resistor 150k</t>
  </si>
  <si>
    <t>R149, R166</t>
  </si>
  <si>
    <t>Resistor 1k</t>
  </si>
  <si>
    <t>270-1k-RC</t>
  </si>
  <si>
    <t>Resistor 10k 0603</t>
  </si>
  <si>
    <t>Resistor 2.2M</t>
  </si>
  <si>
    <t>R154, R171</t>
  </si>
  <si>
    <t>Resistor 47k 0603</t>
  </si>
  <si>
    <t>RC0603FR-0710KL</t>
  </si>
  <si>
    <t>Trimpot</t>
  </si>
  <si>
    <t>TM1, TM2</t>
  </si>
  <si>
    <t>Bourns</t>
  </si>
  <si>
    <t>Trimmer 100k</t>
  </si>
  <si>
    <t>TM3, TM4</t>
  </si>
  <si>
    <t>TBD</t>
  </si>
  <si>
    <t>MOUSER</t>
  </si>
  <si>
    <t>Resistor 1.5M</t>
  </si>
  <si>
    <t>R153, R170</t>
  </si>
  <si>
    <t>R2, R12, R14, R16, R19, R28, R31, R32, R150, R167</t>
  </si>
  <si>
    <t>R76, R80, R88, R92, R188</t>
  </si>
  <si>
    <t>270-10k-RC</t>
  </si>
  <si>
    <t>R7, R24</t>
  </si>
  <si>
    <t>R112, R116, R120, R124, R151, R168</t>
  </si>
  <si>
    <t>Resistor 75k</t>
  </si>
  <si>
    <t>Murata</t>
  </si>
  <si>
    <t>Diode DO-34</t>
  </si>
  <si>
    <t>DESCRIPTION</t>
  </si>
  <si>
    <t>DESIGNATOR</t>
  </si>
  <si>
    <t>VENDOR</t>
  </si>
  <si>
    <t>PART NUMBER</t>
  </si>
  <si>
    <t>QTY</t>
  </si>
  <si>
    <t>PRICE</t>
  </si>
  <si>
    <t>EXT</t>
  </si>
  <si>
    <t xml:space="preserve"> </t>
  </si>
  <si>
    <t>$0.004</t>
  </si>
  <si>
    <t>1473149-4</t>
  </si>
  <si>
    <t>3362P-1-104LF</t>
  </si>
  <si>
    <t>ONLINECOMP</t>
  </si>
  <si>
    <t>3362P-1-103LF</t>
  </si>
  <si>
    <t>CD4053BE</t>
  </si>
  <si>
    <t>$0.02</t>
  </si>
  <si>
    <t>09-48-4089</t>
  </si>
  <si>
    <t>DIGIKEY</t>
  </si>
  <si>
    <t>B</t>
  </si>
  <si>
    <t>Header, 8-Pin</t>
  </si>
  <si>
    <t>09-48-4049</t>
  </si>
  <si>
    <t>F</t>
  </si>
  <si>
    <t>09-48-4039</t>
  </si>
  <si>
    <t>A, C, G</t>
  </si>
  <si>
    <t>09-62-6104</t>
  </si>
  <si>
    <t>D, E</t>
  </si>
  <si>
    <t>110-99-316-41-001000</t>
  </si>
  <si>
    <t>Millmax</t>
  </si>
  <si>
    <t>A7, A18, A19</t>
  </si>
  <si>
    <t>IC socket, 16pin</t>
  </si>
  <si>
    <t>110-99-308-41-001000</t>
  </si>
  <si>
    <t>A1, A2, A4, A5, A6, A8, A9, A10, A11, A12, A13, A14, A15, A16, A17</t>
  </si>
  <si>
    <t>IC socket, 8pin</t>
  </si>
  <si>
    <t>D3082-05</t>
  </si>
  <si>
    <t>Harwin</t>
  </si>
  <si>
    <t>+15, -15</t>
  </si>
  <si>
    <t>Jumper</t>
  </si>
  <si>
    <t>3362W-1-103</t>
  </si>
  <si>
    <t>T10</t>
  </si>
  <si>
    <t>3362W-1-104</t>
  </si>
  <si>
    <t>T9, T11</t>
  </si>
  <si>
    <t>3299Y-1-103LF</t>
  </si>
  <si>
    <t>T2, T3, T5, T6, T7, T8</t>
  </si>
  <si>
    <t>3299Y-1-104LF</t>
  </si>
  <si>
    <t>T1, T4</t>
  </si>
  <si>
    <t>D1, D2, D3, D4, D5, D7</t>
  </si>
  <si>
    <t>Diode</t>
  </si>
  <si>
    <t>WP7113ID</t>
  </si>
  <si>
    <t>Kingbright</t>
  </si>
  <si>
    <t>D6</t>
  </si>
  <si>
    <t xml:space="preserve">LED, Red </t>
  </si>
  <si>
    <t>Q3, Q4, Q12, Q13</t>
  </si>
  <si>
    <t>JFET</t>
  </si>
  <si>
    <t>MPS5172</t>
  </si>
  <si>
    <t>Misc</t>
  </si>
  <si>
    <t>ABSTRAKT</t>
  </si>
  <si>
    <t>Q1, Q2, Q7, Q8, Q10, Q11, Q16, Q17, Q18, Q19, Q23, Q25</t>
  </si>
  <si>
    <t>NPN BJT</t>
  </si>
  <si>
    <t>2N3905</t>
  </si>
  <si>
    <t>Central Semi</t>
  </si>
  <si>
    <t>Q5, Q6, Q9, Q14, Q15, Q20, Q21, Q22, Q24</t>
  </si>
  <si>
    <t>PNP BJT</t>
  </si>
  <si>
    <t>7915CV</t>
  </si>
  <si>
    <t xml:space="preserve">ST </t>
  </si>
  <si>
    <t>A20</t>
  </si>
  <si>
    <t>Voltage Regulator</t>
  </si>
  <si>
    <t>7815CV</t>
  </si>
  <si>
    <t>A21</t>
  </si>
  <si>
    <t>LM3086J</t>
  </si>
  <si>
    <t>Rochester</t>
  </si>
  <si>
    <t>ROCHESTER</t>
  </si>
  <si>
    <t>A3</t>
  </si>
  <si>
    <t>Transistor Array</t>
  </si>
  <si>
    <t>CA3080AE</t>
  </si>
  <si>
    <t>A10, A12, A13, A14, A15</t>
  </si>
  <si>
    <t>AS3310-DIL</t>
  </si>
  <si>
    <t>Alfa Rpar</t>
  </si>
  <si>
    <t>ALFA RPAR</t>
  </si>
  <si>
    <t>A18, A19</t>
  </si>
  <si>
    <t>ADSR IC</t>
  </si>
  <si>
    <t>TL082CP</t>
  </si>
  <si>
    <t>A11</t>
  </si>
  <si>
    <t>TL081CP</t>
  </si>
  <si>
    <t>A6, A8, A9, A16, A17</t>
  </si>
  <si>
    <t>A1, A2, A4, A5</t>
  </si>
  <si>
    <t>A7</t>
  </si>
  <si>
    <t>Analog Switch</t>
  </si>
  <si>
    <t>Polystyrene,  Axial, 2.5%/5%, 160V/250V</t>
  </si>
  <si>
    <t>EBAY / ETC…</t>
  </si>
  <si>
    <t>C1, C4</t>
  </si>
  <si>
    <t>Capacitor 1nF PS</t>
  </si>
  <si>
    <t>ECQ-E4473KF</t>
  </si>
  <si>
    <t>Wima</t>
  </si>
  <si>
    <t>C11, C25</t>
  </si>
  <si>
    <t>Capacitor 47nF</t>
  </si>
  <si>
    <t>MKP4J022203C00KI00</t>
  </si>
  <si>
    <t>C12, C19</t>
  </si>
  <si>
    <t>Capacitor 22nF</t>
  </si>
  <si>
    <t>MKP1T011003C00KI00</t>
  </si>
  <si>
    <t>C13, C17</t>
  </si>
  <si>
    <t>Capacitor 1nF</t>
  </si>
  <si>
    <t>ECQ-E4104JF</t>
  </si>
  <si>
    <t>C3, C9, C14</t>
  </si>
  <si>
    <t>EEU-FC1V101</t>
  </si>
  <si>
    <t>C22, C24</t>
  </si>
  <si>
    <t>Capacitor 100uF</t>
  </si>
  <si>
    <t>EEA-GA1V6R8H</t>
  </si>
  <si>
    <t>C16, C18, C23</t>
  </si>
  <si>
    <t>Capacitor 6.8uF</t>
  </si>
  <si>
    <t>CD15FD331JO3</t>
  </si>
  <si>
    <t>Cornell Dubilier</t>
  </si>
  <si>
    <t>C6, C7</t>
  </si>
  <si>
    <t>Capacitor 330pF</t>
  </si>
  <si>
    <t>FG26C0G2J101JNT06</t>
  </si>
  <si>
    <t>C2, C5, C15</t>
  </si>
  <si>
    <t>Capacitor 100pF</t>
  </si>
  <si>
    <t>FG28C0G1H100DNT06</t>
  </si>
  <si>
    <t>C8, C10</t>
  </si>
  <si>
    <t>MFR-25FBF52-4M70</t>
  </si>
  <si>
    <t>R5, R43</t>
  </si>
  <si>
    <t>Resistor 4.7M</t>
  </si>
  <si>
    <t>MFR-25FBF52-1M50</t>
  </si>
  <si>
    <t>R7, R45</t>
  </si>
  <si>
    <t>CF14JT1M00</t>
  </si>
  <si>
    <t>Stackpole</t>
  </si>
  <si>
    <t>R113</t>
  </si>
  <si>
    <t>CF14JT820K</t>
  </si>
  <si>
    <t>R17, R55</t>
  </si>
  <si>
    <t>MFR-25FBF52-750K</t>
  </si>
  <si>
    <t>R16, R54</t>
  </si>
  <si>
    <t>Resistor 750k</t>
  </si>
  <si>
    <t>MFR-25FBF52-715K</t>
  </si>
  <si>
    <t>R8, R46</t>
  </si>
  <si>
    <t>Resistor 715K</t>
  </si>
  <si>
    <t>MFR-25FBF52-511K</t>
  </si>
  <si>
    <t>R20, R58</t>
  </si>
  <si>
    <t>CF14JT330K</t>
  </si>
  <si>
    <t>R121</t>
  </si>
  <si>
    <t>Resistor 330K</t>
  </si>
  <si>
    <t>CF14JT270k</t>
  </si>
  <si>
    <t>R122</t>
  </si>
  <si>
    <t>Resistor 270k</t>
  </si>
  <si>
    <t>CF14JT220K</t>
  </si>
  <si>
    <t>R4, R159</t>
  </si>
  <si>
    <t>CF14JT120K</t>
  </si>
  <si>
    <t>R39, R75</t>
  </si>
  <si>
    <t>Resistor 120k</t>
  </si>
  <si>
    <t>CF14JT100K</t>
  </si>
  <si>
    <t>R1, R2, R6, R9, R11, R44, R47, R49, R80, R84, R86, R87, R90, R93, R97, R114, R116, R123, R124, R125, R126, R129, R135, R136, R137, R151, R152, R153, R154, R155, R156</t>
  </si>
  <si>
    <t>CF14JT82K0</t>
  </si>
  <si>
    <t>R79, R150</t>
  </si>
  <si>
    <t>Resistor 82k</t>
  </si>
  <si>
    <t>CF14JT68K0</t>
  </si>
  <si>
    <t>R38, R85, R96</t>
  </si>
  <si>
    <t>MFR-25FTE52-66K5</t>
  </si>
  <si>
    <t>R74</t>
  </si>
  <si>
    <t>Resistor 65.7k</t>
  </si>
  <si>
    <t>MFR-25FBF52-59K0</t>
  </si>
  <si>
    <t>R27, R65</t>
  </si>
  <si>
    <t>Resistor 59k</t>
  </si>
  <si>
    <t>MFR-25FBF52-57K6</t>
  </si>
  <si>
    <t>R12, R50</t>
  </si>
  <si>
    <t>Resistor 57.6k</t>
  </si>
  <si>
    <t>MFR-25FBF52-49K9</t>
  </si>
  <si>
    <t>R127, R148</t>
  </si>
  <si>
    <t>Resistor 49.9k</t>
  </si>
  <si>
    <t>CF14JT47K0</t>
  </si>
  <si>
    <t>R35, R37, R73, R81, R95, R118, R120</t>
  </si>
  <si>
    <t>Resistor 47k</t>
  </si>
  <si>
    <t>MFR-25FBF52-44K2</t>
  </si>
  <si>
    <t>R36, R72</t>
  </si>
  <si>
    <t>Resistor 44.2k</t>
  </si>
  <si>
    <t>CF14JT33K0</t>
  </si>
  <si>
    <t>R82</t>
  </si>
  <si>
    <t>MFR-25FBF52-28K7</t>
  </si>
  <si>
    <t>R29, R67</t>
  </si>
  <si>
    <t>Resistor 28.7k</t>
  </si>
  <si>
    <t>CF14JT22K0</t>
  </si>
  <si>
    <t>R40, R41, R76, R77, R112</t>
  </si>
  <si>
    <t>Resistor 22k</t>
  </si>
  <si>
    <t>MFR-25FBF52-18K2</t>
  </si>
  <si>
    <t>R14, R15, R25, R52, R53, R63</t>
  </si>
  <si>
    <t>Resistor 18.2k</t>
  </si>
  <si>
    <t>CF14JT18K0</t>
  </si>
  <si>
    <t>R10, R48</t>
  </si>
  <si>
    <t>Resistor 18k</t>
  </si>
  <si>
    <t>MFR-25FBF52-16K2</t>
  </si>
  <si>
    <t>R26, R64</t>
  </si>
  <si>
    <t>Resistor 16.2k</t>
  </si>
  <si>
    <t>CF14JT12K0</t>
  </si>
  <si>
    <t>R83</t>
  </si>
  <si>
    <t>Resistor 12k</t>
  </si>
  <si>
    <t>CF14JT10K0</t>
  </si>
  <si>
    <t>R3, R21, R28, R33, R34, R59, R66, R89, R92, R94, R99, R107, R130, R132, R133, R134</t>
  </si>
  <si>
    <t>CF14JT6K20</t>
  </si>
  <si>
    <t>R18, R56</t>
  </si>
  <si>
    <t>Resistor 6.2k</t>
  </si>
  <si>
    <t>CF14JT4K70</t>
  </si>
  <si>
    <t>R70, R157, R158</t>
  </si>
  <si>
    <t>CF14JT3K30</t>
  </si>
  <si>
    <t>R42, R78</t>
  </si>
  <si>
    <t>CF14JT2K70</t>
  </si>
  <si>
    <t>R24, R62</t>
  </si>
  <si>
    <t>Resistor 2.7k</t>
  </si>
  <si>
    <t>CF14JT2K20</t>
  </si>
  <si>
    <t>R19, R57, R71, R131</t>
  </si>
  <si>
    <t>Resistor 2.2k</t>
  </si>
  <si>
    <t>CF14JT1K50</t>
  </si>
  <si>
    <t>R22, R23, R60, R61</t>
  </si>
  <si>
    <t>Resistor 1.5k</t>
  </si>
  <si>
    <t>1KQ</t>
  </si>
  <si>
    <t>KRL</t>
  </si>
  <si>
    <t>KRL-BANTRY</t>
  </si>
  <si>
    <t>R13, R51</t>
  </si>
  <si>
    <t>Resistor PTC 1k</t>
  </si>
  <si>
    <t>CF14JT1K00</t>
  </si>
  <si>
    <t>R31, R32, R69, R117, R119, R128, R138</t>
  </si>
  <si>
    <t>CF14JT680R</t>
  </si>
  <si>
    <t>R108, R109</t>
  </si>
  <si>
    <t>Resistor 680</t>
  </si>
  <si>
    <t>CF14JT470R</t>
  </si>
  <si>
    <t>R30, R68</t>
  </si>
  <si>
    <t>Resistor 470</t>
  </si>
  <si>
    <t>CF14JT220R</t>
  </si>
  <si>
    <t>R88, R91, R98, R115</t>
  </si>
  <si>
    <t>Resistor 220</t>
  </si>
  <si>
    <t>CF14JT24R0</t>
  </si>
  <si>
    <t>R110, R111</t>
  </si>
  <si>
    <t>Resistor 24</t>
  </si>
  <si>
    <t>CF14JT10R0</t>
  </si>
  <si>
    <t>R100, R101, R102, R104, R105, R106</t>
  </si>
  <si>
    <t>Resistor 10</t>
  </si>
  <si>
    <t>CF14JT00</t>
  </si>
  <si>
    <t>R103</t>
  </si>
  <si>
    <t>Resistor 0</t>
  </si>
  <si>
    <t>MANUFACTURER</t>
  </si>
  <si>
    <t>Resistor 4.87k 0603</t>
  </si>
  <si>
    <t>R23, R25, R26, R28, R31, R33, R34, R36, R39, R41, R42, R44</t>
  </si>
  <si>
    <t>RC0603FR-TBD</t>
  </si>
  <si>
    <t>R1, R2, R3, R4, R5</t>
  </si>
  <si>
    <t>R6, R7, R8, R9, R10, R11, R12, R13, R14, R15, R16, R17, R18, R19, R20, R21</t>
  </si>
  <si>
    <t>RC0603FR-1047KL</t>
  </si>
  <si>
    <t>R22, R24, R27, R29, R30, R32, R35, R37, R38, R40, R43, R45</t>
  </si>
  <si>
    <t>Capacitor 1uF</t>
  </si>
  <si>
    <t>C1, C2</t>
  </si>
  <si>
    <t>CC0603KRX5R8BB105</t>
  </si>
  <si>
    <t>Capacitor 0.1uF MLCC 0603</t>
  </si>
  <si>
    <t>C3, C4</t>
  </si>
  <si>
    <t>$0.06</t>
  </si>
  <si>
    <t>Capacitor 0.01uF MLCC 0603</t>
  </si>
  <si>
    <t>C5, C6, C7, C8, C9, C10, C11, C12, C13, C14, C15, C16, C17, C18, C19, C20, C21, C22, C23, C24, C25, C26, C27, C28, C29, C30, C31, C32, C33, C34, C35, C37, C38, C38, C39, C40, C41, C42, C43, C44, C45, C46, C47, C48, C49, C50, C51, C52, C53, C54, C55, C60, C61, C62, C67, C68, C73, C74, C75, C80, C81, C82, C83, C84, C85, C86, C87, C88, C89, C90, C91, C92, C93, C94, C95, C96, C97, C98, C99, C100, C101, C102, C103, C104, C105, C106, C107, C112, C113, C114, C119, C120, C125, C126, C127, C132</t>
  </si>
  <si>
    <t>GRM1885C1E103JA01D</t>
  </si>
  <si>
    <t>Capacitor 1nF MLCC 0603</t>
  </si>
  <si>
    <t>C56, C57, C58, C59, C63, C64, C65, C66, C69, C70, C71, C72, C76, C77, C78, C79, C108, C109, C110, C111, C115, C116, C117, C118, C121, C122, C123, C124, C128, C129, C130, C131</t>
  </si>
  <si>
    <t>GRM1885C1H102JA01D</t>
  </si>
  <si>
    <t>$0.033</t>
  </si>
  <si>
    <t>CN1, CN2, CN3, CN4</t>
  </si>
  <si>
    <t>DAC, IO4</t>
  </si>
  <si>
    <t>79109-1005</t>
  </si>
  <si>
    <t>IC1</t>
  </si>
  <si>
    <t>REF3030AID</t>
  </si>
  <si>
    <t>$0.90</t>
  </si>
  <si>
    <t>DAC, 16-bit</t>
  </si>
  <si>
    <t>IC2</t>
  </si>
  <si>
    <t>AD</t>
  </si>
  <si>
    <t>$8.90</t>
  </si>
  <si>
    <t>Op Amp, Quad JFET</t>
  </si>
  <si>
    <t>IC3, IC4</t>
  </si>
  <si>
    <t>LF347D</t>
  </si>
  <si>
    <t>$0.42</t>
  </si>
  <si>
    <t>IC5, IC8, IC11, IC14, IC20, IC23, IC26, IC29, IC32, IC35</t>
  </si>
  <si>
    <t>Op Amp, Dual JFET</t>
  </si>
  <si>
    <t>IC6, IC7, IC9, IC10, IC12, IC13, IC24, IC25, IC27, IC28, IC30, IC31, IC33, IC34</t>
  </si>
  <si>
    <t>TL064CDT</t>
  </si>
  <si>
    <t>$0.14</t>
  </si>
  <si>
    <t>IC15, IC16, IC17, IC18, IC19, IC21, IC22</t>
  </si>
  <si>
    <t>TL084CDR</t>
  </si>
  <si>
    <t>R8, R9, R10, R11</t>
  </si>
  <si>
    <t>R1, R2, R4, R5, R6, R7</t>
  </si>
  <si>
    <t>RC0603FR-07220RL</t>
  </si>
  <si>
    <t>R3</t>
  </si>
  <si>
    <t>RC0603FR-07270RL</t>
  </si>
  <si>
    <t>C2, C5</t>
  </si>
  <si>
    <t>C1, C3, C6</t>
  </si>
  <si>
    <t>C0805C104K3RACTU</t>
  </si>
  <si>
    <t>C4, C7</t>
  </si>
  <si>
    <t>EMIFILTER</t>
  </si>
  <si>
    <t>F1, F2, F3, F4, F5, F6, F7, F8, F9, F10</t>
  </si>
  <si>
    <t>PC900V0NSZ</t>
  </si>
  <si>
    <t>Connector, DIN5</t>
  </si>
  <si>
    <t>J1, J2, J3</t>
  </si>
  <si>
    <t>USB Jack</t>
  </si>
  <si>
    <t>J4</t>
  </si>
  <si>
    <t>00174-001</t>
  </si>
  <si>
    <t>J5</t>
  </si>
  <si>
    <t>CN8</t>
  </si>
  <si>
    <t>PCB Mount</t>
  </si>
  <si>
    <t>M1, M2</t>
  </si>
  <si>
    <t>7790</t>
  </si>
  <si>
    <t>R1, R3, R5, R7, R18, R20, R22, R24, R35, R37, R39, R41, R52, R54, R56, R58, R77, R79, R81, R83, R85, R86, R88, R89</t>
  </si>
  <si>
    <t>0.00729</t>
  </si>
  <si>
    <t>R2, R4, R6, R8, R19, R21, R23, R25, R36, R38, R40, R42, R53, R55, R57, R59, R78, R80, R82, R84</t>
  </si>
  <si>
    <t>R9, R15, R17, R26, R32, R34, R43, R49, R51, R60, R66, R68</t>
  </si>
  <si>
    <t>CMF5023K700FHEB</t>
  </si>
  <si>
    <t>R10, R11, R12, R27, R28, R29, R44, R45, R46, R61, R62, R63</t>
  </si>
  <si>
    <t>$0.46</t>
  </si>
  <si>
    <t>R13, R30, R47, R64, R87</t>
  </si>
  <si>
    <t>R14, R31, R48, R65</t>
  </si>
  <si>
    <t>CF14JT100R</t>
  </si>
  <si>
    <t>R16, R33, R50, R67</t>
  </si>
  <si>
    <t>R69, R70, R71, R72, R73, R74, R75, R76</t>
  </si>
  <si>
    <t>C13, C19, C25, C31, C49, C50</t>
  </si>
  <si>
    <t>C14, C20, C26, C32</t>
  </si>
  <si>
    <t>EEA-FC1V6R8H</t>
  </si>
  <si>
    <t>C51, C52, C53, C54</t>
  </si>
  <si>
    <t>D10, D11</t>
  </si>
  <si>
    <t>BAT85</t>
  </si>
  <si>
    <t>F1, F2, F3, F4, F5, F6, F7, F8</t>
  </si>
  <si>
    <t>IC1, IC2, IC3, IC4, IC18</t>
  </si>
  <si>
    <t>$1.60</t>
  </si>
  <si>
    <t>IC5, IC8, IC11, IC14, IC19</t>
  </si>
  <si>
    <t>TL072CD</t>
  </si>
  <si>
    <t>CA3019</t>
  </si>
  <si>
    <t>IC6, IC9, IC12, IC15</t>
  </si>
  <si>
    <t>$10.00</t>
  </si>
  <si>
    <t>IC7, IC10, IC13, IC16</t>
  </si>
  <si>
    <t>IC17</t>
  </si>
  <si>
    <t>J1, J2, J3, J4, J5, J6, J8, J9, J10, J11, J12, J13, J14</t>
  </si>
  <si>
    <t>PWR1</t>
  </si>
  <si>
    <t>Trimpot 100k</t>
  </si>
  <si>
    <t>TM1, TM2, TM3, TM4</t>
  </si>
  <si>
    <t>CN5</t>
  </si>
  <si>
    <t>D1, D2, D3, D4, D5, D6, D7, D8, E1, E2, E3, E4, E5, E6, E7, E8</t>
  </si>
  <si>
    <t>B1, B2, B3, B4, B5, B6, B7, B8</t>
  </si>
  <si>
    <t>$0.50</t>
  </si>
  <si>
    <t>26-60-2080</t>
  </si>
  <si>
    <t>Header, 2x15 2mm LS</t>
  </si>
  <si>
    <t>$0.40</t>
  </si>
  <si>
    <t>MFR-25FBF52-499R</t>
  </si>
  <si>
    <t>0.0300</t>
  </si>
  <si>
    <t>Resistor 10k 5% CF</t>
  </si>
  <si>
    <t>Resistor 499 1% MF</t>
  </si>
  <si>
    <t>Resistor 30k 5% CF</t>
  </si>
  <si>
    <t>Resistor 100k 5% CF</t>
  </si>
  <si>
    <t>Resistor 100 5% CF</t>
  </si>
  <si>
    <t>Resistor 22k 5% CF</t>
  </si>
  <si>
    <t>Resistor 47k 5% CF</t>
  </si>
  <si>
    <t>Resistor 23.7k 1% MF</t>
  </si>
  <si>
    <t>Capacitor 100pF 5% X7R</t>
  </si>
  <si>
    <t>Capacitor 6.8uF Elec</t>
  </si>
  <si>
    <t>Op Amp, Single JFET</t>
  </si>
  <si>
    <t>C9, C10, C11, C12, C15, C16, C17, C18, C21, C22, C23, C24, C27, C28, C29, C30</t>
  </si>
  <si>
    <t>CF14JT30K0</t>
  </si>
  <si>
    <t>270-100K-RC</t>
  </si>
  <si>
    <t>Capacitor 0.1uF 10% X7R</t>
  </si>
  <si>
    <t>V2164</t>
  </si>
  <si>
    <t>Diode, Schottky SOT323</t>
  </si>
  <si>
    <t>Op Amp, Dual JFETTL072</t>
  </si>
  <si>
    <t>COOL AUDIO</t>
  </si>
  <si>
    <t>ACJM-MHDR</t>
  </si>
  <si>
    <t>$0.69</t>
  </si>
  <si>
    <t>J5, J6</t>
  </si>
  <si>
    <t>ACJS-MHDR</t>
  </si>
  <si>
    <t>Amphenol</t>
  </si>
  <si>
    <t>Header,  10POS, 3.96mm LS</t>
  </si>
  <si>
    <t>Header,  8POS, 3.96mm LS</t>
  </si>
  <si>
    <t>Header,  3POS, 3.96mm LS</t>
  </si>
  <si>
    <t>26-60-2100</t>
  </si>
  <si>
    <t>26-60-2030</t>
  </si>
  <si>
    <t>$0.212</t>
  </si>
  <si>
    <t>A1, A2, A3, A4, A5, A6, A7, A8, C1, C2, C3, C4, C5, C6, C7, C8</t>
  </si>
  <si>
    <t>G1, G2, G3, G4, G5, G6, G7, G8</t>
  </si>
  <si>
    <t>26-60-4030</t>
  </si>
  <si>
    <t>26-60-2040</t>
  </si>
  <si>
    <t>$0.228</t>
  </si>
  <si>
    <t>NEW DEPARTURE</t>
  </si>
  <si>
    <t>53047-0410</t>
  </si>
  <si>
    <t>$0.324</t>
  </si>
  <si>
    <t>26-60-4040</t>
  </si>
  <si>
    <t>$0.188</t>
  </si>
  <si>
    <t>$0.429</t>
  </si>
  <si>
    <t>$0.95</t>
  </si>
  <si>
    <t>Intersil</t>
  </si>
  <si>
    <t>NXP</t>
  </si>
  <si>
    <t>$3.25</t>
  </si>
  <si>
    <t>Header,  4POS, 3.96mm LS</t>
  </si>
  <si>
    <t>Header,  4POS, 1.25mm LS</t>
  </si>
  <si>
    <t>Connector, Phone Jack, Stereo</t>
  </si>
  <si>
    <t>Connector, Phone Jack, Mono</t>
  </si>
  <si>
    <t>IC, VCA</t>
  </si>
  <si>
    <t>IC, OTA</t>
  </si>
  <si>
    <t>IC, Diode Array</t>
  </si>
  <si>
    <t>PCB, OB-R Voice Mobo</t>
  </si>
  <si>
    <t>GOLD PHOENIX</t>
  </si>
  <si>
    <t>Gold Phoenix</t>
  </si>
  <si>
    <t>ON Semi</t>
  </si>
  <si>
    <t>PCB, OB-R Voice Card</t>
  </si>
  <si>
    <t>Assembly, OB-R Voice Mobo</t>
  </si>
  <si>
    <t>PCB, OB-R DAC Board</t>
  </si>
  <si>
    <t>Assembly, OB-R DAC Board</t>
  </si>
  <si>
    <t>PCB, OB-R I/O</t>
  </si>
  <si>
    <t>Assembly, OB-R I/O</t>
  </si>
  <si>
    <t>Mainboard</t>
  </si>
  <si>
    <t>Voice Card</t>
  </si>
  <si>
    <t>Voice Mobo</t>
  </si>
  <si>
    <t>DAC Board</t>
  </si>
  <si>
    <t>IO Board</t>
  </si>
  <si>
    <t>Panelboard</t>
  </si>
  <si>
    <t>PART</t>
  </si>
  <si>
    <t>TOTAL</t>
  </si>
  <si>
    <t>Hardware</t>
  </si>
  <si>
    <t>Enclosure</t>
  </si>
  <si>
    <t xml:space="preserve">     OB-R BOM - TOP LEVEL</t>
  </si>
  <si>
    <t>JLF</t>
  </si>
  <si>
    <t>$0.05</t>
  </si>
  <si>
    <t>00254</t>
  </si>
  <si>
    <t>Screenprinting, Front Panel</t>
  </si>
  <si>
    <t>Technical Screen</t>
  </si>
  <si>
    <t>Screw, M3x 6mm, PPH</t>
  </si>
  <si>
    <t>Screw, M3.5x10mm, Cap</t>
  </si>
  <si>
    <t>NA</t>
  </si>
  <si>
    <t>00254_Screen</t>
  </si>
  <si>
    <t>Technical Screen Printing</t>
  </si>
  <si>
    <t>Resistor 24 Ohms 5% CF</t>
  </si>
  <si>
    <t>Resistor 220 5% CF</t>
  </si>
  <si>
    <t>Resistor 270 5% CF</t>
  </si>
  <si>
    <t>Capacitor 4.7uF Elec</t>
  </si>
  <si>
    <t>Capacitor 0.1uF X7R</t>
  </si>
  <si>
    <t>Capacitor 10nF C0G</t>
  </si>
  <si>
    <t>NFE31PT222Z1E9L</t>
  </si>
  <si>
    <t>Diode, SOD-80</t>
  </si>
  <si>
    <t>LL4148</t>
  </si>
  <si>
    <t>Generic (On Hand)</t>
  </si>
  <si>
    <t>Lite-On</t>
  </si>
  <si>
    <t>Hosiden</t>
  </si>
  <si>
    <t>53047-1010</t>
  </si>
  <si>
    <t>Header, 10POS 1.25mm LS</t>
  </si>
  <si>
    <t>Keystone</t>
  </si>
  <si>
    <t>AD5676R</t>
  </si>
  <si>
    <t>CD4051BM96</t>
  </si>
  <si>
    <t>$0.165</t>
  </si>
  <si>
    <t>Control Knob</t>
  </si>
  <si>
    <t>Phone Jack, Stereo</t>
  </si>
  <si>
    <t>Noctua</t>
  </si>
  <si>
    <t>Fan, 5V</t>
  </si>
  <si>
    <t>IEC Jack</t>
  </si>
  <si>
    <t>MOLEX</t>
  </si>
  <si>
    <t>Packaging, Box</t>
  </si>
  <si>
    <t>OB-R Beauty Carton</t>
  </si>
  <si>
    <t>Packaging, End Pads</t>
  </si>
  <si>
    <t>GBW</t>
  </si>
  <si>
    <t>OB-R End Pad</t>
  </si>
  <si>
    <t>IEC Power Cord</t>
  </si>
  <si>
    <t>LA Custom Pack.</t>
  </si>
  <si>
    <t>Manual, Quick Start</t>
  </si>
  <si>
    <t>Uprint</t>
  </si>
  <si>
    <t>UPRINT</t>
  </si>
  <si>
    <t>Packaging</t>
  </si>
  <si>
    <t>Poly Bag, 4mil. 24" x 12"</t>
  </si>
  <si>
    <t>Poly Bag, 2mil zip, 9" x 6"</t>
  </si>
  <si>
    <t>ITEM</t>
  </si>
  <si>
    <t>C1, C2, C3, C4, C5, C6, C7, C8, C9, C10, C11, C12, C13, C14, C15, C16, C17, C18, C19, C20, C21, C22, C23, C24, C25, C26, C27, C28, C29, C30, C31, C32, C33, C34, C35, C36, C37, C38, C39, C40, C41, C42</t>
  </si>
  <si>
    <t>AVX</t>
  </si>
  <si>
    <t>C43, C44</t>
  </si>
  <si>
    <t>E1</t>
  </si>
  <si>
    <t>IC1, IC2, IC3, IC4, IC5, IC6</t>
  </si>
  <si>
    <t>LED34, LED35, LED36, LED37, LED38, LED39, LED40, LED41, LED42, LED43, LED44, LED45, LED46, LED47, LED48</t>
  </si>
  <si>
    <t>P1, P2, P3, P4, P5, P6, P7, P8, P9, P10, P11, P12, P13, P14, P15, P16, P17, P18, P19, P20, P21</t>
  </si>
  <si>
    <t>Alpha</t>
  </si>
  <si>
    <t>$0.70</t>
  </si>
  <si>
    <t>R169, R170, R171, R172</t>
  </si>
  <si>
    <t>S11, SW1, SW2, SW7, SW8, SW16, SW17, SW18, SW19, SW20, SW21, SW22, SW23, SW24, SW25, SW26, SW27, SW28, SW29, SW30, SW31</t>
  </si>
  <si>
    <t>SW3, SW5, SW14, SW15</t>
  </si>
  <si>
    <t>SW4, SW6, SW9, SW10, SW12, SW13</t>
  </si>
  <si>
    <t>SW DIP-8</t>
  </si>
  <si>
    <t>VOICES</t>
  </si>
  <si>
    <t>D1, D2, D3, D4, D5, D6, D7, D8, D9, D10, D11, D12, D13, D14, D15, D16, D17, D18, D19, D20, D21, D22, D23, D24, D25, D26, D27, D28, D29, D30, D31, D32, D33, D34, D35, D36, D37, D38, D39, D40</t>
  </si>
  <si>
    <t>LED</t>
  </si>
  <si>
    <t>HongJu</t>
  </si>
  <si>
    <t>0.86</t>
  </si>
  <si>
    <t>PEC12R-4025F-S0024</t>
  </si>
  <si>
    <t>RV14-series</t>
  </si>
  <si>
    <t>Potentiometer, Endless</t>
  </si>
  <si>
    <t>Push Switch w/ Led</t>
  </si>
  <si>
    <t>Push Switch</t>
  </si>
  <si>
    <t>Push Switch Dual LED</t>
  </si>
  <si>
    <t>PCB, OB-R Panelboard</t>
  </si>
  <si>
    <t>Assembly, OB-R Panelboard</t>
  </si>
  <si>
    <t>Assembly, OB-R Voice Card</t>
  </si>
  <si>
    <t>Header, 10POS, 3.96mm LS</t>
  </si>
  <si>
    <t>Header, 3POS, 2.54mm LS</t>
  </si>
  <si>
    <t>Logic Buffer</t>
  </si>
  <si>
    <t>Logic Latch</t>
  </si>
  <si>
    <t>Transistor, BJT, PNP</t>
  </si>
  <si>
    <t>Transistor, BJT, NPN</t>
  </si>
  <si>
    <t>Transistor, NJFET</t>
  </si>
  <si>
    <t>Trimmer 10k</t>
  </si>
  <si>
    <t>OTA, Dual</t>
  </si>
  <si>
    <t>Header, 12POS, 2mm LS</t>
  </si>
  <si>
    <t>OptoIsolator</t>
  </si>
  <si>
    <t>Encoder</t>
  </si>
  <si>
    <t>Vref</t>
  </si>
  <si>
    <t>Op Amp, Single JEFT</t>
  </si>
  <si>
    <t>Op Amp, Dual JEFT</t>
  </si>
  <si>
    <t>OTA, Single</t>
  </si>
  <si>
    <t>C33, C34, C35, C36, C37, C38, C39, C40, C41, C42, C43, C44, C55, C56, C57, C58</t>
  </si>
  <si>
    <t>K104K15X7RF53H5</t>
  </si>
  <si>
    <t>K560J15C0GF5TH5</t>
  </si>
  <si>
    <t>Capacitor 560pF C0G</t>
  </si>
  <si>
    <t>K101J15C0GF53L2</t>
  </si>
  <si>
    <t>Capacitor 0.47uF PF</t>
  </si>
  <si>
    <t>ECQ-E2474JB3</t>
  </si>
  <si>
    <t>VOICE CARDS</t>
  </si>
  <si>
    <t>Board sets Required</t>
  </si>
  <si>
    <t>8-Voice</t>
  </si>
  <si>
    <t>4-Voice</t>
  </si>
  <si>
    <t>2-Voice</t>
  </si>
  <si>
    <t>220 sets</t>
  </si>
  <si>
    <t>87831-3010</t>
  </si>
  <si>
    <t>Header, 30POS, Male</t>
  </si>
  <si>
    <t>Header, 12POS, Female</t>
  </si>
  <si>
    <t>Header, 30POS, Female</t>
  </si>
  <si>
    <t>87831-1220</t>
  </si>
  <si>
    <t>Header, 4POS, 2.54mm LS</t>
  </si>
  <si>
    <t>NEWDEPARTURE</t>
  </si>
  <si>
    <t>4 voice</t>
  </si>
  <si>
    <t>8 voice</t>
  </si>
  <si>
    <t>needed towards parts and assemblies</t>
  </si>
  <si>
    <t>profit</t>
  </si>
  <si>
    <t>SH-101</t>
  </si>
  <si>
    <t>OB-R 8-Voice</t>
  </si>
  <si>
    <t>LISTED</t>
  </si>
  <si>
    <t>H3000</t>
  </si>
  <si>
    <t>SRX815</t>
  </si>
  <si>
    <t>Active 20</t>
  </si>
  <si>
    <t>dbx 4800</t>
  </si>
  <si>
    <t>Kit</t>
  </si>
  <si>
    <t>DG409DQ-T1-E3</t>
  </si>
  <si>
    <t>Rear</t>
  </si>
  <si>
    <t>Connector, SODIMM 200</t>
  </si>
  <si>
    <t>Mcu Module</t>
  </si>
  <si>
    <t>C42, C52</t>
  </si>
  <si>
    <t>C2, C6, C9, C13, C18, C22, C26, C29</t>
  </si>
  <si>
    <t>ECQ-E12102J</t>
  </si>
  <si>
    <t>R1, R10, R13, R17, R18, R27, R30, R33, R35, R36, R37, R38, R39, R40, R41, R42, R43, R44, R45, R46, R47, R48, R49, R50, R51, R52, R53, R56, R57, R58, R59, R60, R61, R62, R63, R64, R65, R68, R69, R70, R71, R72, R73, R74, R78, R81, R82, R83, R85, R86, R90, R93, R94, R95, R98, R101, R104, R107, R110, R114, R118, R122, R129, R138, R142, R143, R144, R145, R159, R160, R161, R162, R163, R189</t>
  </si>
  <si>
    <t>RT1062</t>
  </si>
  <si>
    <t>DIY PRICE</t>
  </si>
  <si>
    <t>ECQ-E2333J</t>
  </si>
  <si>
    <t>Capacitor 0.33uF</t>
  </si>
  <si>
    <t>C71A</t>
  </si>
  <si>
    <t>C4, C8, C11, C14, C20, C24, C27, C30, C73, C74, C77</t>
  </si>
  <si>
    <t>C71B</t>
  </si>
  <si>
    <t>Capacitor 0.022uF</t>
  </si>
  <si>
    <t>Capacitor 0.01uF</t>
  </si>
  <si>
    <t>22-04-5032</t>
  </si>
  <si>
    <t>22-04-5042</t>
  </si>
  <si>
    <t>C79, C82</t>
  </si>
  <si>
    <t>DIY EXT</t>
  </si>
  <si>
    <t>V13700</t>
  </si>
  <si>
    <t>TL072CP</t>
  </si>
  <si>
    <t>uA741CP</t>
  </si>
  <si>
    <t>QTY/CARD</t>
  </si>
  <si>
    <t>QTY (8) CARDS</t>
  </si>
  <si>
    <t>SN74LV4051AN</t>
  </si>
  <si>
    <t>PB86-A1</t>
  </si>
  <si>
    <t>PB86-A2</t>
  </si>
  <si>
    <t>PB86-A0</t>
  </si>
  <si>
    <t>C&amp;K</t>
  </si>
  <si>
    <t>BPA08B</t>
  </si>
  <si>
    <t>87831-4010</t>
  </si>
  <si>
    <t>WP710A10HD</t>
  </si>
  <si>
    <t xml:space="preserve">Resistor 10k </t>
  </si>
  <si>
    <t xml:space="preserve">Capacitor 10nF </t>
  </si>
  <si>
    <t xml:space="preserve">Capacitor 0.1uF </t>
  </si>
  <si>
    <t>FA16C0G2A473JRU06</t>
  </si>
  <si>
    <t>FA28C0G2A103JRU6</t>
  </si>
  <si>
    <t>MEAN WELL</t>
  </si>
  <si>
    <t>RT-125C</t>
  </si>
  <si>
    <t>PANASONIC</t>
  </si>
  <si>
    <t>EEU-FC1H100L</t>
  </si>
  <si>
    <t>VREG</t>
  </si>
  <si>
    <t>LM2941T/NOPB</t>
  </si>
  <si>
    <t>LM2991T/NOPB</t>
  </si>
  <si>
    <t>C1, C2, C3, C4, C5, C6</t>
  </si>
  <si>
    <t>C7, C8, C9, C10</t>
  </si>
  <si>
    <t>IC3</t>
  </si>
  <si>
    <t>LM1086CT-3.3/NOPB</t>
  </si>
  <si>
    <t>BOURNS</t>
  </si>
  <si>
    <t>3363P-1-201LF</t>
  </si>
  <si>
    <t>TRIMMER</t>
  </si>
  <si>
    <t>OLED, 128x64</t>
  </si>
  <si>
    <t>GENERIC</t>
  </si>
  <si>
    <t>C11, C12, C13, C14, C15, C16, C17, C18</t>
  </si>
  <si>
    <t>EEU-FC1V470</t>
  </si>
  <si>
    <t>IC4</t>
  </si>
  <si>
    <t>Maxim</t>
  </si>
  <si>
    <t>DS1818-10</t>
  </si>
  <si>
    <t>VSUP</t>
  </si>
  <si>
    <t>FAIRCHILD</t>
  </si>
  <si>
    <t>XICON</t>
  </si>
  <si>
    <t>270-120-RC</t>
  </si>
  <si>
    <t>R1, R3</t>
  </si>
  <si>
    <t>R2, R4</t>
  </si>
  <si>
    <t>270-1.24k-RC</t>
  </si>
  <si>
    <t>R5</t>
  </si>
  <si>
    <t>SMPSU</t>
  </si>
  <si>
    <t>26-60-4060</t>
  </si>
  <si>
    <t>CN1</t>
  </si>
  <si>
    <t>CN2</t>
  </si>
  <si>
    <t>Connector, 6Pos</t>
  </si>
  <si>
    <t>Connector, 3Pos</t>
  </si>
  <si>
    <t>Resistor 120 Ohms</t>
  </si>
  <si>
    <t>Resistor 1.24k Ohms</t>
  </si>
  <si>
    <t>resistor 1k Ohms</t>
  </si>
  <si>
    <t>PCB</t>
  </si>
  <si>
    <t>PCB Assembly</t>
  </si>
  <si>
    <t xml:space="preserve">     OB-R BOM - TOP LEVEL DIY</t>
  </si>
  <si>
    <t>Header, 20X2</t>
  </si>
  <si>
    <t>TE</t>
  </si>
  <si>
    <t>Col Audio</t>
  </si>
  <si>
    <t>Capacitor 0.047uF</t>
  </si>
  <si>
    <t>ECQ-E2473J</t>
  </si>
  <si>
    <t>Q2, Q4, Q19, Q20,  Q22, Q23, Q24</t>
  </si>
  <si>
    <t>MAINBOARD</t>
  </si>
  <si>
    <t>Trimpot 10k</t>
  </si>
  <si>
    <t>Trimpot 100k, 15-Turn</t>
  </si>
  <si>
    <t>Trimpot 10k, 15-Turn</t>
  </si>
  <si>
    <t>Dip Switch, 8 position</t>
  </si>
  <si>
    <t>RNF18FTD1K00</t>
  </si>
  <si>
    <t>RNF18FTD3K30</t>
  </si>
  <si>
    <t>RNF18FTD4K70</t>
  </si>
  <si>
    <t>RNF18FTD5K11</t>
  </si>
  <si>
    <t>RNF18FTD10K0</t>
  </si>
  <si>
    <t>RNF18FTD15K0</t>
  </si>
  <si>
    <t>RNF18FTD20K0</t>
  </si>
  <si>
    <t>RNF18FTD22K1</t>
  </si>
  <si>
    <t>RNF18FTD33K0</t>
  </si>
  <si>
    <t>RNF18FTD68K0</t>
  </si>
  <si>
    <t>RNF18FTD75K0</t>
  </si>
  <si>
    <t>RNF18FTD100K</t>
  </si>
  <si>
    <t>RNF18FTD150K</t>
  </si>
  <si>
    <t>RNF18FTD200K</t>
  </si>
  <si>
    <t>RNF18FTD220K</t>
  </si>
  <si>
    <t>RNF18FTD330K</t>
  </si>
  <si>
    <t>RNF18FTD470K</t>
  </si>
  <si>
    <t>RNF18FTD511K</t>
  </si>
  <si>
    <t>RNF18FTD820K</t>
  </si>
  <si>
    <t>RNF18FTD1M00</t>
  </si>
  <si>
    <t>RNF18FTD1M50</t>
  </si>
  <si>
    <t>RNF18FTD2M20</t>
  </si>
  <si>
    <t>FG28C0G1H100DNT0</t>
  </si>
  <si>
    <t>Electric Druid</t>
  </si>
  <si>
    <t>Erica Synths</t>
  </si>
  <si>
    <t>Digikey</t>
  </si>
  <si>
    <t>HongJu Ebay</t>
  </si>
  <si>
    <t>LM3086J, CA3086</t>
  </si>
  <si>
    <t>Mouser</t>
  </si>
  <si>
    <t>23PS210</t>
  </si>
  <si>
    <t>PANELBOARD</t>
  </si>
  <si>
    <t>VOICE MOTHERBOARD</t>
  </si>
  <si>
    <t>Cabintech</t>
  </si>
  <si>
    <t>POWER SUPPLY</t>
  </si>
  <si>
    <t>RNF18FTD120</t>
  </si>
  <si>
    <t>RNF18FTD1K24</t>
  </si>
  <si>
    <t>Meanwell</t>
  </si>
  <si>
    <t>Selco/Sifam</t>
  </si>
  <si>
    <t>*21</t>
  </si>
  <si>
    <t>Thonk</t>
  </si>
  <si>
    <t>DRN110-006 BLK</t>
  </si>
  <si>
    <t>C110BLK</t>
  </si>
  <si>
    <t>*22</t>
  </si>
  <si>
    <t>Cap, Control Knob</t>
  </si>
  <si>
    <t xml:space="preserve">  </t>
  </si>
  <si>
    <t>Resistor 1k Ohms</t>
  </si>
  <si>
    <t>DR110-006 BLK</t>
  </si>
  <si>
    <t>ABSTRAKT INSTRUMENTS VS-1 DIY BOM</t>
  </si>
  <si>
    <t>HARDWARE</t>
  </si>
  <si>
    <t>1-2199298-2</t>
  </si>
  <si>
    <t>1-2199298-4</t>
  </si>
  <si>
    <t>IC socket, 14pin</t>
  </si>
  <si>
    <t>IC4, IC8, IC12-IC17, IC19, IC20, IC22, IC23, IC25, IC26, IC28, IC29, IC31, IC32, IC34, IC35, IC37, IC38, IC40</t>
  </si>
  <si>
    <t>IC1, IC2, IC3, IC5, IC6, IC7, IC9, IC10, IC11, IC42, IC43</t>
  </si>
  <si>
    <t>1-2199298-3</t>
  </si>
  <si>
    <t>ECQ-E2223JF</t>
  </si>
  <si>
    <t>ECQ-E4473JF</t>
  </si>
  <si>
    <t>ECQ-E6102JF</t>
  </si>
  <si>
    <t>Rochelec</t>
  </si>
  <si>
    <t>LM3080N/CA3080</t>
  </si>
  <si>
    <t>Jameco</t>
  </si>
  <si>
    <t>On Semi/Generic</t>
  </si>
  <si>
    <t>C-2AQ</t>
  </si>
  <si>
    <t>Modular Addict</t>
  </si>
  <si>
    <t>E-Switch</t>
  </si>
  <si>
    <t>SERBKAUOA</t>
  </si>
  <si>
    <t>5501MBLKX</t>
  </si>
  <si>
    <t>Push Switch, Black, No LED</t>
  </si>
  <si>
    <t>Push Switch, Black, LED</t>
  </si>
  <si>
    <t>SERLBKRDAUOA</t>
  </si>
  <si>
    <t>5501MBLKRED</t>
  </si>
  <si>
    <t>Push Switch, Gray, LED</t>
  </si>
  <si>
    <t>SW30</t>
  </si>
  <si>
    <t>S11, SW1, SW2, SW7, SW8, SW16, SW17, SW18, SW19, SW20, SW21, SW22, SW23, SW24, SW25, SW26, SW27, SW28, SW29, SW31</t>
  </si>
  <si>
    <t>PB86-A1 BLACK</t>
  </si>
  <si>
    <t>PB86-A0 BLACK</t>
  </si>
  <si>
    <t>SERLGYRDAUOA</t>
  </si>
  <si>
    <t>5501MGRYRED</t>
  </si>
  <si>
    <t>PB86-A1 GRAY</t>
  </si>
  <si>
    <t>PB86-A2 BLACK</t>
  </si>
  <si>
    <t>SER2LBKRDRDAUOA</t>
  </si>
  <si>
    <t>5501MBLKREDRED</t>
  </si>
  <si>
    <t>Push Switch, Black,  Dual LED</t>
  </si>
  <si>
    <t>Fan, 80mm</t>
  </si>
  <si>
    <t>109R0805F401</t>
  </si>
  <si>
    <t>Sanyo</t>
  </si>
  <si>
    <t>6ESRM-3</t>
  </si>
  <si>
    <t>312014-01</t>
  </si>
  <si>
    <t>Qualtek</t>
  </si>
  <si>
    <t>IEC Power Cord (UK)</t>
  </si>
  <si>
    <t>IEC Power Cord (NA/CA/CH/JP)</t>
  </si>
  <si>
    <t>IEC Power Cord (AU)</t>
  </si>
  <si>
    <t>IEC Power Cord (Euro)</t>
  </si>
  <si>
    <t>390002-01</t>
  </si>
  <si>
    <t>370001-E01</t>
  </si>
  <si>
    <t>398001-01</t>
  </si>
  <si>
    <t>PCB Guide</t>
  </si>
  <si>
    <t>Bivar</t>
  </si>
  <si>
    <t>DC-400</t>
  </si>
  <si>
    <t>v0.90 12/23/2019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</si>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</sst>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8" formatCode="&quot;$&quot;#,##0.00_);[Red]\(&quot;$&quot;#,##0.00\)"/>
    <numFmt numFmtId="164" formatCode="&quot;$&quot;#,##0.000"/>
    <numFmt numFmtId="165" formatCode="_(* #,##0.000_);_(* \(#,##0.000\);_(* &quot;-&quot;???_);_(@_)"/>
    <numFmt numFmtId="166" formatCode="&quot;$&quot;#,##0.000_);\(&quot;$&quot;#,##0.000\)"/>
    <numFmt numFmtId="167" formatCode="&quot;$&quot;#,##0.00"/>
  </numFmts>
  <fonts count="19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8"/>
      <color rgb="FF000000"/>
      <name val="Segoe UI"/>
      <family val="2"/>
    </font>
    <font>
      <b/>
      <sz val="8"/>
      <color theme="1"/>
      <name val="Segoe UI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color indexed="8"/>
      <name val="Segoe UI"/>
      <family val="2"/>
    </font>
    <font>
      <b/>
      <sz val="10"/>
      <color theme="1"/>
      <name val="Segoe UI"/>
      <family val="2"/>
    </font>
    <font>
      <sz val="8"/>
      <color theme="1"/>
      <name val="Segue UI"/>
    </font>
    <font>
      <b/>
      <sz val="8"/>
      <color theme="1"/>
      <name val="Segue UI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Segoe UI"/>
      <family val="2"/>
    </font>
    <font>
      <b/>
      <sz val="12"/>
      <color rgb="FF000000"/>
      <name val="Segoe UI"/>
      <family val="2"/>
    </font>
    <font>
      <sz val="12"/>
      <color theme="1"/>
      <name val="Calibri"/>
      <family val="2"/>
      <scheme val="minor"/>
    </font>
    <font>
      <b/>
      <sz val="12"/>
      <color rgb="FF282828"/>
      <name val="Inherit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2" fillId="0" borderId="0"/>
    <xf numFmtId="0" fontId="6" fillId="0" borderId="0"/>
    <xf numFmtId="0" fontId="14" fillId="0" borderId="0" applyNumberFormat="0" applyFill="0" applyBorder="0" applyAlignment="0" applyProtection="0"/>
  </cellStyleXfs>
  <cellXfs count="148">
    <xf numFmtId="0" fontId="0" fillId="0" borderId="0" xfId="0"/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/>
    <xf numFmtId="0" fontId="1" fillId="0" borderId="1" xfId="0" quotePrefix="1" applyFont="1" applyBorder="1" applyAlignment="1">
      <alignment horizontal="center"/>
    </xf>
    <xf numFmtId="0" fontId="1" fillId="0" borderId="1" xfId="0" quotePrefix="1" applyFont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2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2" borderId="1" xfId="0" quotePrefix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quotePrefix="1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1" fillId="0" borderId="1" xfId="0" quotePrefix="1" applyFont="1" applyBorder="1" applyAlignment="1">
      <alignment vertical="center"/>
    </xf>
    <xf numFmtId="0" fontId="1" fillId="0" borderId="1" xfId="0" quotePrefix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left" indent="1"/>
    </xf>
    <xf numFmtId="0" fontId="0" fillId="0" borderId="0" xfId="0" applyNumberFormat="1" applyFont="1" applyAlignment="1">
      <alignment horizontal="center"/>
    </xf>
    <xf numFmtId="167" fontId="3" fillId="0" borderId="0" xfId="0" applyNumberFormat="1" applyFont="1"/>
    <xf numFmtId="164" fontId="3" fillId="3" borderId="1" xfId="0" applyNumberFormat="1" applyFont="1" applyFill="1" applyBorder="1" applyAlignment="1">
      <alignment horizontal="left" indent="1"/>
    </xf>
    <xf numFmtId="164" fontId="1" fillId="3" borderId="1" xfId="0" quotePrefix="1" applyNumberFormat="1" applyFont="1" applyFill="1" applyBorder="1" applyAlignment="1">
      <alignment horizontal="left" indent="1"/>
    </xf>
    <xf numFmtId="0" fontId="1" fillId="3" borderId="1" xfId="0" applyNumberFormat="1" applyFont="1" applyFill="1" applyBorder="1" applyAlignment="1">
      <alignment horizontal="center"/>
    </xf>
    <xf numFmtId="0" fontId="1" fillId="3" borderId="1" xfId="0" quotePrefix="1" applyFont="1" applyFill="1" applyBorder="1"/>
    <xf numFmtId="0" fontId="3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164" fontId="3" fillId="3" borderId="1" xfId="0" applyNumberFormat="1" applyFont="1" applyFill="1" applyBorder="1" applyAlignment="1">
      <alignment horizontal="left" wrapText="1" indent="1"/>
    </xf>
    <xf numFmtId="0" fontId="1" fillId="3" borderId="1" xfId="0" applyNumberFormat="1" applyFont="1" applyFill="1" applyBorder="1" applyAlignment="1">
      <alignment horizontal="center" wrapText="1"/>
    </xf>
    <xf numFmtId="0" fontId="1" fillId="3" borderId="1" xfId="0" quotePrefix="1" applyFont="1" applyFill="1" applyBorder="1" applyAlignment="1">
      <alignment wrapText="1"/>
    </xf>
    <xf numFmtId="0" fontId="1" fillId="3" borderId="1" xfId="0" quotePrefix="1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167" fontId="4" fillId="2" borderId="1" xfId="0" quotePrefix="1" applyNumberFormat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/>
    <xf numFmtId="0" fontId="0" fillId="0" borderId="1" xfId="0" applyBorder="1"/>
    <xf numFmtId="164" fontId="5" fillId="0" borderId="0" xfId="0" applyNumberFormat="1" applyFont="1" applyAlignment="1">
      <alignment horizontal="left" indent="1"/>
    </xf>
    <xf numFmtId="0" fontId="8" fillId="3" borderId="1" xfId="1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167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7" fontId="1" fillId="0" borderId="1" xfId="0" quotePrefix="1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167" fontId="3" fillId="0" borderId="0" xfId="0" applyNumberFormat="1" applyFont="1" applyAlignment="1">
      <alignment horizontal="center" vertical="center"/>
    </xf>
    <xf numFmtId="0" fontId="1" fillId="3" borderId="1" xfId="0" quotePrefix="1" applyFont="1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 wrapText="1"/>
    </xf>
    <xf numFmtId="167" fontId="1" fillId="3" borderId="1" xfId="0" quotePrefix="1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64" fontId="1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167" fontId="3" fillId="0" borderId="0" xfId="0" applyNumberFormat="1" applyFont="1" applyAlignment="1">
      <alignment horizontal="center"/>
    </xf>
    <xf numFmtId="6" fontId="3" fillId="0" borderId="0" xfId="0" applyNumberFormat="1" applyFont="1" applyAlignment="1">
      <alignment horizontal="center"/>
    </xf>
    <xf numFmtId="6" fontId="3" fillId="0" borderId="0" xfId="0" applyNumberFormat="1" applyFont="1"/>
    <xf numFmtId="0" fontId="5" fillId="0" borderId="0" xfId="0" applyFont="1"/>
    <xf numFmtId="164" fontId="3" fillId="0" borderId="0" xfId="0" applyNumberFormat="1" applyFont="1" applyAlignment="1">
      <alignment horizontal="left" inden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8" fontId="1" fillId="0" borderId="1" xfId="0" applyNumberFormat="1" applyFont="1" applyBorder="1" applyAlignment="1">
      <alignment horizontal="center" vertical="center"/>
    </xf>
    <xf numFmtId="8" fontId="5" fillId="0" borderId="0" xfId="0" applyNumberFormat="1" applyFont="1" applyAlignment="1">
      <alignment horizontal="center"/>
    </xf>
    <xf numFmtId="8" fontId="5" fillId="0" borderId="0" xfId="0" applyNumberFormat="1" applyFont="1" applyAlignment="1">
      <alignment horizontal="center" vertical="center"/>
    </xf>
    <xf numFmtId="8" fontId="1" fillId="3" borderId="1" xfId="0" applyNumberFormat="1" applyFont="1" applyFill="1" applyBorder="1" applyAlignment="1">
      <alignment horizontal="center"/>
    </xf>
    <xf numFmtId="8" fontId="3" fillId="3" borderId="1" xfId="0" applyNumberFormat="1" applyFont="1" applyFill="1" applyBorder="1" applyAlignment="1">
      <alignment horizontal="center"/>
    </xf>
    <xf numFmtId="8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0" fontId="13" fillId="0" borderId="0" xfId="0" applyFont="1"/>
    <xf numFmtId="164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8" fontId="1" fillId="0" borderId="1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13" fillId="0" borderId="1" xfId="0" applyFont="1" applyBorder="1"/>
    <xf numFmtId="6" fontId="3" fillId="0" borderId="1" xfId="0" applyNumberFormat="1" applyFont="1" applyBorder="1" applyAlignment="1">
      <alignment horizont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4" fillId="2" borderId="5" xfId="0" quotePrefix="1" applyFont="1" applyFill="1" applyBorder="1" applyAlignment="1">
      <alignment horizontal="center" vertical="center"/>
    </xf>
    <xf numFmtId="0" fontId="4" fillId="2" borderId="6" xfId="0" quotePrefix="1" applyFont="1" applyFill="1" applyBorder="1" applyAlignment="1">
      <alignment horizontal="center" vertical="center"/>
    </xf>
    <xf numFmtId="0" fontId="15" fillId="3" borderId="1" xfId="4" quotePrefix="1" applyFont="1" applyFill="1" applyBorder="1" applyAlignment="1">
      <alignment horizontal="center"/>
    </xf>
    <xf numFmtId="0" fontId="15" fillId="0" borderId="1" xfId="4" quotePrefix="1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/>
    </xf>
    <xf numFmtId="0" fontId="4" fillId="2" borderId="7" xfId="0" quotePrefix="1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2" borderId="8" xfId="0" quotePrefix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6" borderId="1" xfId="0" quotePrefix="1" applyFont="1" applyFill="1" applyBorder="1"/>
    <xf numFmtId="0" fontId="1" fillId="6" borderId="1" xfId="0" applyFont="1" applyFill="1" applyBorder="1" applyAlignment="1">
      <alignment horizontal="center" vertical="center"/>
    </xf>
    <xf numFmtId="0" fontId="1" fillId="6" borderId="1" xfId="0" quotePrefix="1" applyFont="1" applyFill="1" applyBorder="1" applyAlignment="1">
      <alignment horizontal="center" vertical="center"/>
    </xf>
    <xf numFmtId="0" fontId="15" fillId="6" borderId="1" xfId="4" quotePrefix="1" applyFont="1" applyFill="1" applyBorder="1" applyAlignment="1">
      <alignment horizontal="center" vertical="center"/>
    </xf>
    <xf numFmtId="0" fontId="1" fillId="7" borderId="1" xfId="0" quotePrefix="1" applyFont="1" applyFill="1" applyBorder="1"/>
    <xf numFmtId="0" fontId="1" fillId="7" borderId="1" xfId="0" applyFont="1" applyFill="1" applyBorder="1" applyAlignment="1">
      <alignment horizontal="center" vertical="center"/>
    </xf>
    <xf numFmtId="0" fontId="1" fillId="7" borderId="1" xfId="0" quotePrefix="1" applyFont="1" applyFill="1" applyBorder="1" applyAlignment="1">
      <alignment horizontal="center" vertical="center"/>
    </xf>
    <xf numFmtId="0" fontId="15" fillId="7" borderId="1" xfId="4" quotePrefix="1" applyFont="1" applyFill="1" applyBorder="1" applyAlignment="1">
      <alignment horizontal="center" vertical="center"/>
    </xf>
    <xf numFmtId="0" fontId="1" fillId="8" borderId="1" xfId="0" quotePrefix="1" applyFont="1" applyFill="1" applyBorder="1"/>
    <xf numFmtId="0" fontId="1" fillId="8" borderId="1" xfId="0" applyFont="1" applyFill="1" applyBorder="1" applyAlignment="1">
      <alignment horizontal="center"/>
    </xf>
    <xf numFmtId="0" fontId="1" fillId="8" borderId="1" xfId="0" quotePrefix="1" applyFont="1" applyFill="1" applyBorder="1" applyAlignment="1">
      <alignment horizontal="center"/>
    </xf>
    <xf numFmtId="0" fontId="1" fillId="7" borderId="1" xfId="0" quotePrefix="1" applyFont="1" applyFill="1" applyBorder="1" applyAlignment="1">
      <alignment vertical="center"/>
    </xf>
    <xf numFmtId="0" fontId="1" fillId="7" borderId="1" xfId="0" quotePrefix="1" applyFont="1" applyFill="1" applyBorder="1" applyAlignment="1">
      <alignment vertical="center" wrapText="1"/>
    </xf>
    <xf numFmtId="0" fontId="1" fillId="6" borderId="1" xfId="0" quotePrefix="1" applyFont="1" applyFill="1" applyBorder="1" applyAlignment="1">
      <alignment vertical="center"/>
    </xf>
    <xf numFmtId="0" fontId="1" fillId="6" borderId="1" xfId="0" quotePrefix="1" applyFont="1" applyFill="1" applyBorder="1" applyAlignment="1">
      <alignment vertical="center" wrapText="1"/>
    </xf>
    <xf numFmtId="0" fontId="1" fillId="6" borderId="1" xfId="0" quotePrefix="1" applyFont="1" applyFill="1" applyBorder="1" applyAlignment="1">
      <alignment horizontal="center"/>
    </xf>
    <xf numFmtId="0" fontId="1" fillId="9" borderId="1" xfId="0" quotePrefix="1" applyFont="1" applyFill="1" applyBorder="1"/>
    <xf numFmtId="0" fontId="1" fillId="9" borderId="1" xfId="0" applyFont="1" applyFill="1" applyBorder="1" applyAlignment="1">
      <alignment horizontal="center"/>
    </xf>
    <xf numFmtId="0" fontId="1" fillId="9" borderId="1" xfId="0" quotePrefix="1" applyFont="1" applyFill="1" applyBorder="1" applyAlignment="1">
      <alignment horizontal="center" vertical="center"/>
    </xf>
    <xf numFmtId="0" fontId="1" fillId="9" borderId="1" xfId="0" quotePrefix="1" applyFont="1" applyFill="1" applyBorder="1" applyAlignment="1">
      <alignment horizontal="center"/>
    </xf>
    <xf numFmtId="0" fontId="1" fillId="8" borderId="1" xfId="0" quotePrefix="1" applyFont="1" applyFill="1" applyBorder="1" applyAlignment="1">
      <alignment horizontal="center" vertical="center"/>
    </xf>
    <xf numFmtId="0" fontId="3" fillId="8" borderId="1" xfId="0" quotePrefix="1" applyFont="1" applyFill="1" applyBorder="1" applyAlignment="1">
      <alignment horizontal="center"/>
    </xf>
    <xf numFmtId="0" fontId="1" fillId="10" borderId="1" xfId="0" quotePrefix="1" applyFont="1" applyFill="1" applyBorder="1"/>
    <xf numFmtId="0" fontId="1" fillId="10" borderId="1" xfId="0" applyFont="1" applyFill="1" applyBorder="1" applyAlignment="1">
      <alignment horizontal="center" vertical="center"/>
    </xf>
    <xf numFmtId="0" fontId="1" fillId="10" borderId="1" xfId="0" quotePrefix="1" applyFont="1" applyFill="1" applyBorder="1" applyAlignment="1">
      <alignment horizontal="center" vertical="center"/>
    </xf>
    <xf numFmtId="0" fontId="15" fillId="10" borderId="1" xfId="4" quotePrefix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center"/>
    </xf>
    <xf numFmtId="167" fontId="1" fillId="10" borderId="1" xfId="0" quotePrefix="1" applyNumberFormat="1" applyFont="1" applyFill="1" applyBorder="1" applyAlignment="1">
      <alignment horizontal="center"/>
    </xf>
    <xf numFmtId="0" fontId="15" fillId="10" borderId="1" xfId="4" quotePrefix="1" applyFont="1" applyFill="1" applyBorder="1" applyAlignment="1">
      <alignment horizontal="center"/>
    </xf>
    <xf numFmtId="0" fontId="1" fillId="10" borderId="1" xfId="0" applyFont="1" applyFill="1" applyBorder="1"/>
    <xf numFmtId="0" fontId="1" fillId="10" borderId="1" xfId="0" quotePrefix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16" fillId="2" borderId="3" xfId="0" quotePrefix="1" applyFont="1" applyFill="1" applyBorder="1" applyAlignment="1">
      <alignment horizontal="center" vertical="center"/>
    </xf>
    <xf numFmtId="0" fontId="17" fillId="0" borderId="5" xfId="0" applyFont="1" applyBorder="1" applyAlignment="1"/>
    <xf numFmtId="0" fontId="17" fillId="0" borderId="6" xfId="0" applyFont="1" applyBorder="1" applyAlignment="1"/>
    <xf numFmtId="0" fontId="18" fillId="0" borderId="0" xfId="0" applyFont="1"/>
  </cellXfs>
  <cellStyles count="5">
    <cellStyle name="Hyperlink" xfId="4" builtinId="8"/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celec.com/part/natreilm3080n" TargetMode="External"/><Relationship Id="rId3" Type="http://schemas.openxmlformats.org/officeDocument/2006/relationships/hyperlink" Target="https://cabintechglobal.com/as3310-dil" TargetMode="External"/><Relationship Id="rId7" Type="http://schemas.openxmlformats.org/officeDocument/2006/relationships/hyperlink" Target="https://www.rocelec.com/search?q=LM3086J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electricdruid.net/product/as3310-vcadsr/" TargetMode="External"/><Relationship Id="rId1" Type="http://schemas.openxmlformats.org/officeDocument/2006/relationships/hyperlink" Target="https://www.ericasynths.lv/shop/diy/diy-accessories/voltage-controlled-envelope-generator-as3310/" TargetMode="External"/><Relationship Id="rId6" Type="http://schemas.openxmlformats.org/officeDocument/2006/relationships/hyperlink" Target="https://www.thonk.co.uk/shop/intellijel-black-knobs/" TargetMode="External"/><Relationship Id="rId11" Type="http://schemas.openxmlformats.org/officeDocument/2006/relationships/hyperlink" Target="https://modularaddict.com/krl-tempco-resistor" TargetMode="External"/><Relationship Id="rId5" Type="http://schemas.openxmlformats.org/officeDocument/2006/relationships/hyperlink" Target="https://www.thonk.co.uk/shop/intellijel-black-knobs/" TargetMode="External"/><Relationship Id="rId10" Type="http://schemas.openxmlformats.org/officeDocument/2006/relationships/hyperlink" Target="https://www.thonk.co.uk/shop/tempco-krl/" TargetMode="External"/><Relationship Id="rId4" Type="http://schemas.openxmlformats.org/officeDocument/2006/relationships/hyperlink" Target="https://www.thonk.co.uk/shop/intellijel-black-knobs/" TargetMode="External"/><Relationship Id="rId9" Type="http://schemas.openxmlformats.org/officeDocument/2006/relationships/hyperlink" Target="https://www.jameco.com/shop/ProductDisplay?catalogId=10001&amp;langId=-1&amp;storeId=10001&amp;productId=1211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nk.co.uk/shop/intellijel-black-knobs/" TargetMode="External"/><Relationship Id="rId2" Type="http://schemas.openxmlformats.org/officeDocument/2006/relationships/hyperlink" Target="https://www.thonk.co.uk/shop/intellijel-black-knobs/" TargetMode="External"/><Relationship Id="rId1" Type="http://schemas.openxmlformats.org/officeDocument/2006/relationships/hyperlink" Target="https://www.thonk.co.uk/shop/intellijel-black-knobs/" TargetMode="External"/><Relationship Id="rId4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88"/>
  <sheetViews>
    <sheetView workbookViewId="0">
      <selection activeCell="F29" sqref="F29"/>
    </sheetView>
  </sheetViews>
  <sheetFormatPr defaultRowHeight="10.5"/>
  <cols>
    <col min="1" max="1" width="3.7109375" style="7" customWidth="1"/>
    <col min="2" max="2" width="12" style="7" customWidth="1"/>
    <col min="3" max="3" width="10.5703125" style="9" customWidth="1"/>
    <col min="4" max="4" width="13.7109375" style="7" customWidth="1"/>
    <col min="5" max="5" width="13" style="9" customWidth="1"/>
    <col min="6" max="6" width="29.140625" style="17" customWidth="1"/>
    <col min="7" max="7" width="41.7109375" style="16" customWidth="1"/>
    <col min="8" max="16384" width="9.140625" style="7"/>
  </cols>
  <sheetData>
    <row r="1" spans="2:14" ht="15" customHeight="1"/>
    <row r="2" spans="2:14" ht="30" customHeight="1">
      <c r="B2" s="142" t="s">
        <v>543</v>
      </c>
      <c r="C2" s="143"/>
      <c r="D2" s="143"/>
      <c r="E2" s="143"/>
      <c r="G2" s="142" t="s">
        <v>747</v>
      </c>
      <c r="H2" s="143"/>
      <c r="I2" s="143"/>
      <c r="J2" s="143"/>
    </row>
    <row r="3" spans="2:14" ht="15" customHeight="1">
      <c r="B3" s="46" t="s">
        <v>539</v>
      </c>
      <c r="C3" s="46" t="s">
        <v>136</v>
      </c>
      <c r="D3" s="46" t="s">
        <v>137</v>
      </c>
      <c r="E3" s="46" t="s">
        <v>540</v>
      </c>
      <c r="G3" s="46" t="s">
        <v>539</v>
      </c>
      <c r="H3" s="46" t="s">
        <v>136</v>
      </c>
      <c r="I3" s="46" t="s">
        <v>137</v>
      </c>
      <c r="J3" s="46" t="s">
        <v>540</v>
      </c>
      <c r="K3" s="74">
        <v>3250</v>
      </c>
      <c r="L3" s="9">
        <v>20</v>
      </c>
      <c r="M3" s="9" t="s">
        <v>657</v>
      </c>
      <c r="N3" s="74">
        <f>L3*K3</f>
        <v>65000</v>
      </c>
    </row>
    <row r="4" spans="2:14" ht="15" customHeight="1">
      <c r="B4" s="59" t="s">
        <v>533</v>
      </c>
      <c r="C4" s="55">
        <v>1</v>
      </c>
      <c r="D4" s="53" t="e">
        <f>'OB-R Mainboard'!#REF!</f>
        <v>#REF!</v>
      </c>
      <c r="E4" s="53" t="e">
        <f>D4*C4</f>
        <v>#REF!</v>
      </c>
      <c r="G4" s="59" t="s">
        <v>533</v>
      </c>
      <c r="H4" s="55">
        <v>1</v>
      </c>
      <c r="I4" s="53" t="e">
        <f>'OB-R Mainboard'!#REF!</f>
        <v>#REF!</v>
      </c>
      <c r="J4" s="53" t="e">
        <f>I4*H4</f>
        <v>#REF!</v>
      </c>
      <c r="K4" s="74">
        <v>1995</v>
      </c>
      <c r="L4" s="9">
        <v>10</v>
      </c>
      <c r="M4" s="9" t="s">
        <v>656</v>
      </c>
      <c r="N4" s="74">
        <f>L4*K4</f>
        <v>19950</v>
      </c>
    </row>
    <row r="5" spans="2:14" ht="15" customHeight="1">
      <c r="B5" s="59" t="s">
        <v>535</v>
      </c>
      <c r="C5" s="55">
        <v>1</v>
      </c>
      <c r="D5" s="53">
        <f>'OB-R Voice Mobo'!L35</f>
        <v>137.48552999999998</v>
      </c>
      <c r="E5" s="53">
        <f>D5*C5</f>
        <v>137.48552999999998</v>
      </c>
      <c r="G5" s="59" t="s">
        <v>535</v>
      </c>
      <c r="H5" s="55">
        <v>1</v>
      </c>
      <c r="I5" s="53">
        <f>'OB-R Voice Mobo'!J35</f>
        <v>97.551999999999992</v>
      </c>
      <c r="J5" s="53">
        <f>I5*H5</f>
        <v>97.551999999999992</v>
      </c>
      <c r="K5" s="9"/>
      <c r="L5" s="9"/>
      <c r="M5" s="9"/>
      <c r="N5" s="74">
        <f>SUM(N3:N4)</f>
        <v>84950</v>
      </c>
    </row>
    <row r="6" spans="2:14" ht="15" customHeight="1">
      <c r="B6" s="59" t="s">
        <v>534</v>
      </c>
      <c r="C6" s="55">
        <v>8</v>
      </c>
      <c r="D6" s="53">
        <f>'OB-R Voice Card RevA'!M83</f>
        <v>73.369699999999995</v>
      </c>
      <c r="E6" s="53">
        <f>D6*C6</f>
        <v>586.95759999999996</v>
      </c>
      <c r="G6" s="59" t="s">
        <v>534</v>
      </c>
      <c r="H6" s="55">
        <v>1</v>
      </c>
      <c r="I6" s="53">
        <f>'OB-R Voice Card RevA'!K83</f>
        <v>923.52000000000021</v>
      </c>
      <c r="J6" s="53">
        <f>I6*H6</f>
        <v>923.52000000000021</v>
      </c>
      <c r="K6" s="9"/>
      <c r="L6" s="9">
        <v>30</v>
      </c>
      <c r="M6" s="9"/>
      <c r="N6" s="9"/>
    </row>
    <row r="7" spans="2:14" ht="15" customHeight="1">
      <c r="B7" s="59" t="s">
        <v>538</v>
      </c>
      <c r="C7" s="55">
        <v>1</v>
      </c>
      <c r="D7" s="53">
        <f>'OB-R Panel'!L19</f>
        <v>64.099999999999994</v>
      </c>
      <c r="E7" s="53">
        <v>150</v>
      </c>
      <c r="G7" s="59" t="s">
        <v>538</v>
      </c>
      <c r="H7" s="55">
        <v>1</v>
      </c>
      <c r="I7" s="53">
        <f>'OB-R Panel'!J19</f>
        <v>73.992999999999995</v>
      </c>
      <c r="J7" s="53">
        <v>150</v>
      </c>
    </row>
    <row r="8" spans="2:14" ht="15" customHeight="1">
      <c r="B8" s="59" t="s">
        <v>536</v>
      </c>
      <c r="C8" s="55">
        <v>1</v>
      </c>
      <c r="D8" s="53">
        <f>'OB-R DAC Board'!J22</f>
        <v>38.536000000000001</v>
      </c>
      <c r="E8" s="53">
        <f t="shared" ref="E8:E13" si="0">D8*C8</f>
        <v>38.536000000000001</v>
      </c>
      <c r="G8" s="59" t="s">
        <v>536</v>
      </c>
      <c r="H8" s="55">
        <v>1</v>
      </c>
      <c r="I8" s="53">
        <f>'OB-R DAC Board'!O22</f>
        <v>0</v>
      </c>
      <c r="J8" s="53">
        <f t="shared" ref="J8:J13" si="1">I8*H8</f>
        <v>0</v>
      </c>
    </row>
    <row r="9" spans="2:14" ht="15" customHeight="1">
      <c r="B9" s="59" t="s">
        <v>537</v>
      </c>
      <c r="C9" s="55">
        <v>1</v>
      </c>
      <c r="D9" s="53">
        <f>'OB-R IO Board'!J20</f>
        <v>9.6341900000000003</v>
      </c>
      <c r="E9" s="53">
        <f t="shared" si="0"/>
        <v>9.6341900000000003</v>
      </c>
      <c r="G9" s="59" t="s">
        <v>537</v>
      </c>
      <c r="H9" s="55">
        <v>1</v>
      </c>
      <c r="I9" s="53">
        <f>'OB-R IO Board'!O20</f>
        <v>0</v>
      </c>
      <c r="J9" s="53">
        <f t="shared" si="1"/>
        <v>0</v>
      </c>
    </row>
    <row r="10" spans="2:14" ht="15" customHeight="1">
      <c r="B10" s="59" t="s">
        <v>676</v>
      </c>
      <c r="C10" s="55">
        <v>1</v>
      </c>
      <c r="D10" s="53">
        <v>22</v>
      </c>
      <c r="E10" s="53">
        <f t="shared" si="0"/>
        <v>22</v>
      </c>
      <c r="G10" s="59" t="s">
        <v>676</v>
      </c>
      <c r="H10" s="55">
        <v>1</v>
      </c>
      <c r="I10" s="53">
        <v>0</v>
      </c>
      <c r="J10" s="53">
        <f t="shared" si="1"/>
        <v>0</v>
      </c>
    </row>
    <row r="11" spans="2:14" ht="15" customHeight="1">
      <c r="B11" s="59" t="s">
        <v>542</v>
      </c>
      <c r="C11" s="55">
        <v>1</v>
      </c>
      <c r="D11" s="53">
        <f>'OB-R Enclosure'!I7</f>
        <v>188.81</v>
      </c>
      <c r="E11" s="53">
        <f t="shared" si="0"/>
        <v>188.81</v>
      </c>
      <c r="G11" s="59" t="s">
        <v>542</v>
      </c>
      <c r="H11" s="55">
        <v>1</v>
      </c>
      <c r="I11" s="53">
        <f>'OB-R Enclosure'!N7</f>
        <v>0</v>
      </c>
      <c r="J11" s="53">
        <f t="shared" si="1"/>
        <v>0</v>
      </c>
    </row>
    <row r="12" spans="2:14" ht="15" customHeight="1">
      <c r="B12" s="59" t="s">
        <v>541</v>
      </c>
      <c r="C12" s="55">
        <v>1</v>
      </c>
      <c r="D12" s="53" t="e">
        <f>Hardware!#REF!</f>
        <v>#REF!</v>
      </c>
      <c r="E12" s="53" t="e">
        <f t="shared" si="0"/>
        <v>#REF!</v>
      </c>
      <c r="G12" s="59" t="s">
        <v>541</v>
      </c>
      <c r="H12" s="55">
        <v>1</v>
      </c>
      <c r="I12" s="53" t="e">
        <f>Hardware!#REF!</f>
        <v>#REF!</v>
      </c>
      <c r="J12" s="53" t="e">
        <f t="shared" si="1"/>
        <v>#REF!</v>
      </c>
    </row>
    <row r="13" spans="2:14" ht="15" customHeight="1">
      <c r="B13" s="59" t="s">
        <v>588</v>
      </c>
      <c r="C13" s="55">
        <v>1</v>
      </c>
      <c r="D13" s="53">
        <f>Packaging!I8</f>
        <v>9.1</v>
      </c>
      <c r="E13" s="53">
        <f t="shared" si="0"/>
        <v>9.1</v>
      </c>
      <c r="G13" s="59" t="s">
        <v>588</v>
      </c>
      <c r="H13" s="55">
        <v>1</v>
      </c>
      <c r="I13" s="53">
        <f>Packaging!N8</f>
        <v>0</v>
      </c>
      <c r="J13" s="53">
        <f t="shared" si="1"/>
        <v>0</v>
      </c>
    </row>
    <row r="14" spans="2:14" ht="15" customHeight="1">
      <c r="B14" s="56"/>
      <c r="C14" s="57"/>
      <c r="D14" s="60" t="s">
        <v>139</v>
      </c>
      <c r="E14" s="58" t="e">
        <f>SUM(E4:E13)</f>
        <v>#REF!</v>
      </c>
      <c r="I14" s="23" t="e">
        <f>SUM(I4:I13)</f>
        <v>#REF!</v>
      </c>
    </row>
    <row r="15" spans="2:14" ht="15" customHeight="1">
      <c r="E15" s="73" t="e">
        <f>E4+E5+E7+E8+E9+E11+E12+E13</f>
        <v>#REF!</v>
      </c>
    </row>
    <row r="16" spans="2:14" ht="15" customHeight="1">
      <c r="E16" s="73" t="e">
        <f>30*E15</f>
        <v>#REF!</v>
      </c>
      <c r="F16" s="17" t="s">
        <v>658</v>
      </c>
    </row>
    <row r="17" spans="2:6" ht="15" customHeight="1">
      <c r="E17" s="73" t="e">
        <f>85000-E16</f>
        <v>#REF!</v>
      </c>
      <c r="F17" s="17" t="s">
        <v>659</v>
      </c>
    </row>
    <row r="18" spans="2:6" ht="15" customHeight="1"/>
    <row r="19" spans="2:6" ht="15" customHeight="1"/>
    <row r="20" spans="2:6" ht="15" customHeight="1"/>
    <row r="21" spans="2:6" ht="15" customHeight="1">
      <c r="B21" s="76" t="s">
        <v>662</v>
      </c>
    </row>
    <row r="22" spans="2:6" ht="15" customHeight="1">
      <c r="B22" s="7" t="s">
        <v>663</v>
      </c>
      <c r="C22" s="74">
        <v>1500</v>
      </c>
    </row>
    <row r="23" spans="2:6" ht="15" customHeight="1">
      <c r="B23" s="7" t="s">
        <v>664</v>
      </c>
      <c r="C23" s="74">
        <v>1500</v>
      </c>
      <c r="F23" s="17" t="s">
        <v>139</v>
      </c>
    </row>
    <row r="24" spans="2:6" ht="15" customHeight="1">
      <c r="B24" s="7" t="s">
        <v>665</v>
      </c>
      <c r="C24" s="74">
        <v>700</v>
      </c>
    </row>
    <row r="25" spans="2:6" ht="15" customHeight="1">
      <c r="B25" s="7" t="s">
        <v>660</v>
      </c>
      <c r="C25" s="74">
        <v>1500</v>
      </c>
    </row>
    <row r="26" spans="2:6" ht="15" customHeight="1">
      <c r="B26" s="7" t="s">
        <v>666</v>
      </c>
      <c r="C26" s="74">
        <v>2000</v>
      </c>
    </row>
    <row r="27" spans="2:6" ht="15" customHeight="1">
      <c r="C27" s="74">
        <f>SUM(C22:C26)</f>
        <v>7200</v>
      </c>
    </row>
    <row r="28" spans="2:6" ht="15" customHeight="1"/>
    <row r="29" spans="2:6" ht="15" customHeight="1"/>
    <row r="30" spans="2:6" ht="15" customHeight="1">
      <c r="B30" s="7" t="s">
        <v>667</v>
      </c>
    </row>
    <row r="31" spans="2:6" ht="15" customHeight="1">
      <c r="B31" s="7" t="s">
        <v>536</v>
      </c>
      <c r="C31" s="9">
        <f>'OB-R DAC Board'!J22</f>
        <v>38.536000000000001</v>
      </c>
    </row>
    <row r="32" spans="2:6" ht="15" customHeight="1">
      <c r="B32" s="7" t="s">
        <v>534</v>
      </c>
      <c r="C32" s="9">
        <f>'OB-R Voice Card RevA'!M84*8</f>
        <v>40.32</v>
      </c>
    </row>
    <row r="33" spans="2:4" ht="15" customHeight="1">
      <c r="B33" s="7" t="s">
        <v>533</v>
      </c>
      <c r="C33" s="9" t="e">
        <f>'OB-R Mainboard'!#REF!</f>
        <v>#REF!</v>
      </c>
    </row>
    <row r="34" spans="2:4" ht="15" customHeight="1">
      <c r="B34" s="7" t="s">
        <v>671</v>
      </c>
      <c r="C34" s="74">
        <v>28</v>
      </c>
    </row>
    <row r="35" spans="2:4" ht="15" customHeight="1">
      <c r="B35" s="7" t="s">
        <v>535</v>
      </c>
      <c r="C35" s="9">
        <f>'OB-R Voice Mobo'!L36</f>
        <v>16.68</v>
      </c>
    </row>
    <row r="36" spans="2:4" ht="15" customHeight="1">
      <c r="B36" s="7" t="s">
        <v>538</v>
      </c>
      <c r="C36" s="9">
        <f>'OB-R Panel'!L20</f>
        <v>21.7</v>
      </c>
    </row>
    <row r="37" spans="2:4" ht="15" customHeight="1">
      <c r="B37" s="7" t="s">
        <v>537</v>
      </c>
      <c r="C37" s="9">
        <f>'OB-R IO Board'!J20</f>
        <v>9.6341900000000003</v>
      </c>
    </row>
    <row r="38" spans="2:4" ht="15" customHeight="1">
      <c r="B38" s="7" t="s">
        <v>542</v>
      </c>
      <c r="C38" s="9">
        <f>'OB-R Enclosure'!I7</f>
        <v>188.81</v>
      </c>
    </row>
    <row r="39" spans="2:4" ht="15" customHeight="1">
      <c r="B39" s="7" t="s">
        <v>541</v>
      </c>
      <c r="C39" s="73" t="e">
        <f>E12</f>
        <v>#REF!</v>
      </c>
    </row>
    <row r="40" spans="2:4" ht="15" customHeight="1">
      <c r="B40" s="7" t="s">
        <v>588</v>
      </c>
      <c r="C40" s="73">
        <v>7</v>
      </c>
    </row>
    <row r="41" spans="2:4" ht="15" customHeight="1">
      <c r="C41" s="9" t="e">
        <f>SUM(C31:C40)</f>
        <v>#REF!</v>
      </c>
      <c r="D41" s="7">
        <v>382</v>
      </c>
    </row>
    <row r="42" spans="2:4" ht="15" customHeight="1">
      <c r="C42" s="79" t="e">
        <f>C41*3</f>
        <v>#REF!</v>
      </c>
      <c r="D42" s="7">
        <f>D41*3</f>
        <v>1146</v>
      </c>
    </row>
    <row r="43" spans="2:4" ht="15" customHeight="1">
      <c r="C43" s="74">
        <v>999</v>
      </c>
    </row>
    <row r="44" spans="2:4" ht="15" customHeight="1"/>
    <row r="45" spans="2:4" ht="15" customHeight="1"/>
    <row r="46" spans="2:4" ht="15" customHeight="1"/>
    <row r="47" spans="2:4" ht="15" customHeight="1"/>
    <row r="48" spans="2:4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</sheetData>
  <mergeCells count="2">
    <mergeCell ref="B2:E2"/>
    <mergeCell ref="G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9"/>
  <sheetViews>
    <sheetView showGridLines="0" tabSelected="1" workbookViewId="0">
      <selection activeCell="E10" sqref="E10"/>
    </sheetView>
  </sheetViews>
  <sheetFormatPr defaultRowHeight="10.5"/>
  <cols>
    <col min="1" max="1" width="0.140625" style="7" customWidth="1"/>
    <col min="2" max="2" width="10.140625" style="7" hidden="1" customWidth="1"/>
    <col min="3" max="3" width="4.85546875" style="7" customWidth="1"/>
    <col min="4" max="4" width="30.42578125" style="7" customWidth="1"/>
    <col min="5" max="5" width="80.140625" style="7" customWidth="1"/>
    <col min="6" max="6" width="7.5703125" style="7" customWidth="1"/>
    <col min="7" max="7" width="16.140625" style="7" customWidth="1"/>
    <col min="8" max="8" width="15.42578125" style="7" customWidth="1"/>
    <col min="9" max="9" width="23.85546875" style="7" customWidth="1"/>
    <col min="10" max="10" width="20" style="7" customWidth="1"/>
    <col min="11" max="16384" width="9.140625" style="7"/>
  </cols>
  <sheetData>
    <row r="1" spans="2:13" ht="19.5" customHeight="1">
      <c r="C1" s="7" t="s">
        <v>859</v>
      </c>
      <c r="D1" s="7" t="s">
        <v>858</v>
      </c>
    </row>
    <row r="2" spans="2:13" ht="20.100000000000001" customHeight="1">
      <c r="D2" s="144" t="s">
        <v>806</v>
      </c>
      <c r="E2" s="145"/>
      <c r="F2" s="145"/>
      <c r="G2" s="145"/>
      <c r="H2" s="145"/>
      <c r="I2" s="146"/>
    </row>
    <row r="3" spans="2:13" ht="15.95" customHeight="1">
      <c r="D3" s="97" t="s">
        <v>754</v>
      </c>
      <c r="E3" s="97" t="s">
        <v>139</v>
      </c>
      <c r="F3" s="99" t="s">
        <v>139</v>
      </c>
      <c r="G3" s="99" t="s">
        <v>139</v>
      </c>
      <c r="H3" s="99" t="s">
        <v>139</v>
      </c>
      <c r="I3" s="100" t="s">
        <v>139</v>
      </c>
    </row>
    <row r="4" spans="2:13" ht="15.95" customHeight="1">
      <c r="B4" s="10" t="s">
        <v>591</v>
      </c>
      <c r="D4" s="10" t="s">
        <v>132</v>
      </c>
      <c r="E4" s="10" t="s">
        <v>133</v>
      </c>
      <c r="F4" s="10" t="s">
        <v>136</v>
      </c>
      <c r="G4" s="10" t="s">
        <v>366</v>
      </c>
      <c r="H4" s="98" t="s">
        <v>134</v>
      </c>
      <c r="I4" s="10" t="s">
        <v>135</v>
      </c>
    </row>
    <row r="5" spans="2:13" s="12" customFormat="1" ht="14.1" customHeight="1">
      <c r="B5" s="55">
        <v>3</v>
      </c>
      <c r="D5" s="11" t="s">
        <v>108</v>
      </c>
      <c r="E5" s="11" t="s">
        <v>124</v>
      </c>
      <c r="F5" s="14">
        <v>10</v>
      </c>
      <c r="G5" s="37" t="s">
        <v>255</v>
      </c>
      <c r="H5" s="61" t="s">
        <v>784</v>
      </c>
      <c r="I5" s="11" t="s">
        <v>759</v>
      </c>
    </row>
    <row r="6" spans="2:13" s="12" customFormat="1" ht="14.1" customHeight="1">
      <c r="B6" s="55">
        <v>4</v>
      </c>
      <c r="D6" s="11" t="s">
        <v>91</v>
      </c>
      <c r="E6" s="11" t="s">
        <v>92</v>
      </c>
      <c r="F6" s="14">
        <v>8</v>
      </c>
      <c r="G6" s="37" t="s">
        <v>255</v>
      </c>
      <c r="H6" s="61" t="s">
        <v>784</v>
      </c>
      <c r="I6" s="11" t="s">
        <v>760</v>
      </c>
    </row>
    <row r="7" spans="2:13" s="12" customFormat="1" ht="14.1" customHeight="1">
      <c r="B7" s="55">
        <v>6</v>
      </c>
      <c r="D7" s="11" t="s">
        <v>84</v>
      </c>
      <c r="E7" s="11" t="s">
        <v>85</v>
      </c>
      <c r="F7" s="14">
        <v>3</v>
      </c>
      <c r="G7" s="37" t="s">
        <v>255</v>
      </c>
      <c r="H7" s="61" t="s">
        <v>784</v>
      </c>
      <c r="I7" s="11" t="s">
        <v>761</v>
      </c>
    </row>
    <row r="8" spans="2:13" s="12" customFormat="1" ht="14.1" customHeight="1">
      <c r="B8" s="55">
        <v>7</v>
      </c>
      <c r="D8" s="11" t="s">
        <v>76</v>
      </c>
      <c r="E8" s="11" t="s">
        <v>77</v>
      </c>
      <c r="F8" s="14">
        <v>2</v>
      </c>
      <c r="G8" s="37" t="s">
        <v>255</v>
      </c>
      <c r="H8" s="61" t="s">
        <v>784</v>
      </c>
      <c r="I8" s="11" t="s">
        <v>762</v>
      </c>
    </row>
    <row r="9" spans="2:13" s="12" customFormat="1" ht="14.1" customHeight="1">
      <c r="B9" s="55">
        <v>8</v>
      </c>
      <c r="D9" s="11" t="s">
        <v>73</v>
      </c>
      <c r="E9" s="11" t="s">
        <v>125</v>
      </c>
      <c r="F9" s="14">
        <v>5</v>
      </c>
      <c r="G9" s="37" t="s">
        <v>255</v>
      </c>
      <c r="H9" s="61" t="s">
        <v>784</v>
      </c>
      <c r="I9" s="11" t="s">
        <v>763</v>
      </c>
    </row>
    <row r="10" spans="2:13" s="12" customFormat="1" ht="14.1" customHeight="1">
      <c r="B10" s="55">
        <v>12</v>
      </c>
      <c r="D10" s="11" t="s">
        <v>74</v>
      </c>
      <c r="E10" s="11" t="s">
        <v>75</v>
      </c>
      <c r="F10" s="14">
        <v>16</v>
      </c>
      <c r="G10" s="37" t="s">
        <v>255</v>
      </c>
      <c r="H10" s="61" t="s">
        <v>784</v>
      </c>
      <c r="I10" s="11" t="s">
        <v>764</v>
      </c>
    </row>
    <row r="11" spans="2:13" s="12" customFormat="1" ht="14.1" customHeight="1">
      <c r="B11" s="55">
        <v>15</v>
      </c>
      <c r="D11" s="11" t="s">
        <v>81</v>
      </c>
      <c r="E11" s="11" t="s">
        <v>127</v>
      </c>
      <c r="F11" s="14">
        <v>1</v>
      </c>
      <c r="G11" s="37" t="s">
        <v>255</v>
      </c>
      <c r="H11" s="61" t="s">
        <v>784</v>
      </c>
      <c r="I11" s="11" t="s">
        <v>765</v>
      </c>
      <c r="M11" s="147" t="s">
        <v>139</v>
      </c>
    </row>
    <row r="12" spans="2:13" s="12" customFormat="1" ht="14.1" customHeight="1">
      <c r="B12" s="55">
        <v>16</v>
      </c>
      <c r="D12" s="11" t="s">
        <v>93</v>
      </c>
      <c r="E12" s="11" t="s">
        <v>128</v>
      </c>
      <c r="F12" s="14">
        <v>6</v>
      </c>
      <c r="G12" s="37" t="s">
        <v>255</v>
      </c>
      <c r="H12" s="61" t="s">
        <v>784</v>
      </c>
      <c r="I12" s="11" t="s">
        <v>766</v>
      </c>
    </row>
    <row r="13" spans="2:13" s="12" customFormat="1" ht="14.1" customHeight="1">
      <c r="B13" s="55">
        <v>17</v>
      </c>
      <c r="D13" s="11" t="s">
        <v>89</v>
      </c>
      <c r="E13" s="11" t="s">
        <v>90</v>
      </c>
      <c r="F13" s="14">
        <v>6</v>
      </c>
      <c r="G13" s="37" t="s">
        <v>255</v>
      </c>
      <c r="H13" s="61" t="s">
        <v>784</v>
      </c>
      <c r="I13" s="11" t="s">
        <v>767</v>
      </c>
    </row>
    <row r="14" spans="2:13" s="12" customFormat="1" ht="14.1" customHeight="1">
      <c r="B14" s="55">
        <v>20</v>
      </c>
      <c r="D14" s="11" t="s">
        <v>100</v>
      </c>
      <c r="E14" s="11" t="s">
        <v>101</v>
      </c>
      <c r="F14" s="14">
        <v>4</v>
      </c>
      <c r="G14" s="37" t="s">
        <v>255</v>
      </c>
      <c r="H14" s="61" t="s">
        <v>784</v>
      </c>
      <c r="I14" s="11" t="s">
        <v>768</v>
      </c>
    </row>
    <row r="15" spans="2:13" s="12" customFormat="1" ht="14.1" customHeight="1">
      <c r="B15" s="55">
        <v>21</v>
      </c>
      <c r="D15" s="11" t="s">
        <v>129</v>
      </c>
      <c r="E15" s="11" t="s">
        <v>105</v>
      </c>
      <c r="F15" s="14">
        <v>2</v>
      </c>
      <c r="G15" s="37" t="s">
        <v>255</v>
      </c>
      <c r="H15" s="61" t="s">
        <v>784</v>
      </c>
      <c r="I15" s="11" t="s">
        <v>769</v>
      </c>
    </row>
    <row r="16" spans="2:13" s="8" customFormat="1" ht="50.1" customHeight="1">
      <c r="B16" s="55">
        <v>22</v>
      </c>
      <c r="D16" s="19" t="s">
        <v>72</v>
      </c>
      <c r="E16" s="19" t="s">
        <v>675</v>
      </c>
      <c r="F16" s="20">
        <v>74</v>
      </c>
      <c r="G16" s="37" t="s">
        <v>255</v>
      </c>
      <c r="H16" s="61" t="s">
        <v>784</v>
      </c>
      <c r="I16" s="11" t="s">
        <v>770</v>
      </c>
    </row>
    <row r="17" spans="2:9" ht="14.1" customHeight="1">
      <c r="B17" s="55">
        <v>25</v>
      </c>
      <c r="D17" s="11" t="s">
        <v>106</v>
      </c>
      <c r="E17" s="11" t="s">
        <v>107</v>
      </c>
      <c r="F17" s="14">
        <v>2</v>
      </c>
      <c r="G17" s="37" t="s">
        <v>255</v>
      </c>
      <c r="H17" s="61" t="s">
        <v>784</v>
      </c>
      <c r="I17" s="11" t="s">
        <v>771</v>
      </c>
    </row>
    <row r="18" spans="2:9" ht="14.1" customHeight="1">
      <c r="B18" s="55">
        <v>26</v>
      </c>
      <c r="D18" s="11" t="s">
        <v>103</v>
      </c>
      <c r="E18" s="11" t="s">
        <v>104</v>
      </c>
      <c r="F18" s="14">
        <v>2</v>
      </c>
      <c r="G18" s="37" t="s">
        <v>255</v>
      </c>
      <c r="H18" s="61" t="s">
        <v>784</v>
      </c>
      <c r="I18" s="11" t="s">
        <v>772</v>
      </c>
    </row>
    <row r="19" spans="2:9" ht="14.1" customHeight="1">
      <c r="B19" s="55">
        <v>27</v>
      </c>
      <c r="D19" s="11" t="s">
        <v>96</v>
      </c>
      <c r="E19" s="11" t="s">
        <v>97</v>
      </c>
      <c r="F19" s="14">
        <v>2</v>
      </c>
      <c r="G19" s="37" t="s">
        <v>255</v>
      </c>
      <c r="H19" s="61" t="s">
        <v>784</v>
      </c>
      <c r="I19" s="11" t="s">
        <v>773</v>
      </c>
    </row>
    <row r="20" spans="2:9" ht="14.1" customHeight="1">
      <c r="B20" s="55">
        <v>28</v>
      </c>
      <c r="D20" s="11" t="s">
        <v>98</v>
      </c>
      <c r="E20" s="11" t="s">
        <v>99</v>
      </c>
      <c r="F20" s="14">
        <v>2</v>
      </c>
      <c r="G20" s="37" t="s">
        <v>255</v>
      </c>
      <c r="H20" s="61" t="s">
        <v>784</v>
      </c>
      <c r="I20" s="11" t="s">
        <v>774</v>
      </c>
    </row>
    <row r="21" spans="2:9" ht="14.1" customHeight="1">
      <c r="B21" s="55">
        <v>29</v>
      </c>
      <c r="D21" s="11" t="s">
        <v>82</v>
      </c>
      <c r="E21" s="11" t="s">
        <v>83</v>
      </c>
      <c r="F21" s="14">
        <v>4</v>
      </c>
      <c r="G21" s="37" t="s">
        <v>255</v>
      </c>
      <c r="H21" s="61" t="s">
        <v>784</v>
      </c>
      <c r="I21" s="11" t="s">
        <v>775</v>
      </c>
    </row>
    <row r="22" spans="2:9" ht="14.1" customHeight="1">
      <c r="B22" s="55">
        <v>31</v>
      </c>
      <c r="D22" s="11" t="s">
        <v>78</v>
      </c>
      <c r="E22" s="11" t="s">
        <v>79</v>
      </c>
      <c r="F22" s="14">
        <v>2</v>
      </c>
      <c r="G22" s="37" t="s">
        <v>255</v>
      </c>
      <c r="H22" s="61" t="s">
        <v>784</v>
      </c>
      <c r="I22" s="11" t="s">
        <v>776</v>
      </c>
    </row>
    <row r="23" spans="2:9" ht="14.1" customHeight="1">
      <c r="B23" s="55">
        <v>32</v>
      </c>
      <c r="D23" s="11" t="s">
        <v>87</v>
      </c>
      <c r="E23" s="11" t="s">
        <v>88</v>
      </c>
      <c r="F23" s="14">
        <v>8</v>
      </c>
      <c r="G23" s="37" t="s">
        <v>255</v>
      </c>
      <c r="H23" s="61" t="s">
        <v>784</v>
      </c>
      <c r="I23" s="11" t="s">
        <v>777</v>
      </c>
    </row>
    <row r="24" spans="2:9" ht="14.1" customHeight="1">
      <c r="B24" s="55">
        <v>33</v>
      </c>
      <c r="D24" s="11" t="s">
        <v>94</v>
      </c>
      <c r="E24" s="11" t="s">
        <v>95</v>
      </c>
      <c r="F24" s="14">
        <v>2</v>
      </c>
      <c r="G24" s="37" t="s">
        <v>255</v>
      </c>
      <c r="H24" s="61" t="s">
        <v>784</v>
      </c>
      <c r="I24" s="11" t="s">
        <v>778</v>
      </c>
    </row>
    <row r="25" spans="2:9" ht="14.1" customHeight="1">
      <c r="B25" s="55">
        <v>34</v>
      </c>
      <c r="D25" s="11" t="s">
        <v>122</v>
      </c>
      <c r="E25" s="11" t="s">
        <v>123</v>
      </c>
      <c r="F25" s="14">
        <v>2</v>
      </c>
      <c r="G25" s="37" t="s">
        <v>255</v>
      </c>
      <c r="H25" s="61" t="s">
        <v>784</v>
      </c>
      <c r="I25" s="11" t="s">
        <v>779</v>
      </c>
    </row>
    <row r="26" spans="2:9" ht="14.1" customHeight="1">
      <c r="B26" s="55">
        <v>35</v>
      </c>
      <c r="D26" s="11" t="s">
        <v>111</v>
      </c>
      <c r="E26" s="11" t="s">
        <v>112</v>
      </c>
      <c r="F26" s="14">
        <v>2</v>
      </c>
      <c r="G26" s="37" t="s">
        <v>255</v>
      </c>
      <c r="H26" s="61" t="s">
        <v>784</v>
      </c>
      <c r="I26" s="11" t="s">
        <v>780</v>
      </c>
    </row>
    <row r="27" spans="2:9" ht="14.1" customHeight="1">
      <c r="B27" s="55">
        <v>36</v>
      </c>
      <c r="D27" s="11" t="s">
        <v>16</v>
      </c>
      <c r="E27" s="11" t="s">
        <v>17</v>
      </c>
      <c r="F27" s="14">
        <v>1</v>
      </c>
      <c r="G27" s="37" t="s">
        <v>2</v>
      </c>
      <c r="H27" s="61" t="s">
        <v>784</v>
      </c>
      <c r="I27" s="11" t="s">
        <v>781</v>
      </c>
    </row>
    <row r="28" spans="2:9" ht="14.1" customHeight="1">
      <c r="B28" s="55">
        <v>37</v>
      </c>
      <c r="D28" s="11" t="s">
        <v>8</v>
      </c>
      <c r="E28" s="11" t="s">
        <v>9</v>
      </c>
      <c r="F28" s="14">
        <v>2</v>
      </c>
      <c r="G28" s="37" t="s">
        <v>2</v>
      </c>
      <c r="H28" s="61" t="s">
        <v>784</v>
      </c>
      <c r="I28" s="11" t="s">
        <v>10</v>
      </c>
    </row>
    <row r="29" spans="2:9" ht="14.1" customHeight="1">
      <c r="B29" s="55">
        <v>38</v>
      </c>
      <c r="D29" s="11" t="s">
        <v>0</v>
      </c>
      <c r="E29" s="11" t="s">
        <v>1</v>
      </c>
      <c r="F29" s="14">
        <v>8</v>
      </c>
      <c r="G29" s="37" t="s">
        <v>2</v>
      </c>
      <c r="H29" s="61" t="s">
        <v>784</v>
      </c>
      <c r="I29" s="11" t="s">
        <v>3</v>
      </c>
    </row>
    <row r="30" spans="2:9" ht="14.1" customHeight="1">
      <c r="B30" s="55"/>
      <c r="D30" s="11" t="s">
        <v>231</v>
      </c>
      <c r="E30" s="11" t="s">
        <v>672</v>
      </c>
      <c r="F30" s="14">
        <v>2</v>
      </c>
      <c r="G30" s="37" t="s">
        <v>4</v>
      </c>
      <c r="H30" s="61" t="s">
        <v>784</v>
      </c>
      <c r="I30" s="11" t="s">
        <v>674</v>
      </c>
    </row>
    <row r="31" spans="2:9" ht="14.1" customHeight="1">
      <c r="B31" s="55">
        <v>43</v>
      </c>
      <c r="D31" s="11" t="s">
        <v>684</v>
      </c>
      <c r="E31" s="11" t="s">
        <v>11</v>
      </c>
      <c r="F31" s="14">
        <v>2</v>
      </c>
      <c r="G31" s="37" t="s">
        <v>4</v>
      </c>
      <c r="H31" s="61" t="s">
        <v>784</v>
      </c>
      <c r="I31" s="11" t="s">
        <v>12</v>
      </c>
    </row>
    <row r="32" spans="2:9" ht="14.1" customHeight="1">
      <c r="B32" s="55">
        <v>39</v>
      </c>
      <c r="D32" s="11" t="s">
        <v>683</v>
      </c>
      <c r="E32" s="11" t="s">
        <v>673</v>
      </c>
      <c r="F32" s="14">
        <v>8</v>
      </c>
      <c r="G32" s="37" t="s">
        <v>4</v>
      </c>
      <c r="H32" s="61" t="s">
        <v>784</v>
      </c>
      <c r="I32" s="11" t="s">
        <v>5</v>
      </c>
    </row>
    <row r="33" spans="1:9" ht="14.1" customHeight="1">
      <c r="B33" s="55"/>
      <c r="D33" s="11" t="s">
        <v>751</v>
      </c>
      <c r="E33" s="11" t="s">
        <v>682</v>
      </c>
      <c r="F33" s="14">
        <v>1</v>
      </c>
      <c r="G33" s="37" t="s">
        <v>4</v>
      </c>
      <c r="H33" s="61" t="s">
        <v>784</v>
      </c>
      <c r="I33" s="11" t="s">
        <v>752</v>
      </c>
    </row>
    <row r="34" spans="1:9" ht="14.1" customHeight="1">
      <c r="B34" s="55">
        <v>41</v>
      </c>
      <c r="D34" s="11" t="s">
        <v>6</v>
      </c>
      <c r="E34" s="11" t="s">
        <v>681</v>
      </c>
      <c r="F34" s="14">
        <v>11</v>
      </c>
      <c r="G34" s="37" t="s">
        <v>4</v>
      </c>
      <c r="H34" s="61" t="s">
        <v>784</v>
      </c>
      <c r="I34" s="11" t="s">
        <v>7</v>
      </c>
    </row>
    <row r="35" spans="1:9" ht="14.1" customHeight="1">
      <c r="B35" s="55"/>
      <c r="D35" s="11" t="s">
        <v>679</v>
      </c>
      <c r="E35" s="11" t="s">
        <v>680</v>
      </c>
      <c r="F35" s="14">
        <v>1</v>
      </c>
      <c r="G35" s="37" t="s">
        <v>4</v>
      </c>
      <c r="H35" s="61" t="s">
        <v>784</v>
      </c>
      <c r="I35" s="11" t="s">
        <v>678</v>
      </c>
    </row>
    <row r="36" spans="1:9" ht="14.1" customHeight="1">
      <c r="B36" s="55">
        <v>45</v>
      </c>
      <c r="D36" s="11" t="s">
        <v>14</v>
      </c>
      <c r="E36" s="11" t="s">
        <v>687</v>
      </c>
      <c r="F36" s="14">
        <v>2</v>
      </c>
      <c r="G36" s="37" t="s">
        <v>4</v>
      </c>
      <c r="H36" s="61" t="s">
        <v>784</v>
      </c>
      <c r="I36" s="11" t="s">
        <v>15</v>
      </c>
    </row>
    <row r="37" spans="1:9" ht="14.1" customHeight="1">
      <c r="B37" s="55">
        <v>47</v>
      </c>
      <c r="D37" s="11" t="s">
        <v>21</v>
      </c>
      <c r="E37" s="11" t="s">
        <v>22</v>
      </c>
      <c r="F37" s="14">
        <v>2</v>
      </c>
      <c r="G37" s="37" t="s">
        <v>4</v>
      </c>
      <c r="H37" s="61" t="s">
        <v>784</v>
      </c>
      <c r="I37" s="11" t="s">
        <v>23</v>
      </c>
    </row>
    <row r="38" spans="1:9" ht="14.1" customHeight="1">
      <c r="B38" s="55">
        <v>51</v>
      </c>
      <c r="D38" s="11" t="s">
        <v>131</v>
      </c>
      <c r="E38" s="11" t="s">
        <v>32</v>
      </c>
      <c r="F38" s="14">
        <v>2</v>
      </c>
      <c r="G38" s="37" t="s">
        <v>70</v>
      </c>
      <c r="H38" s="61" t="s">
        <v>784</v>
      </c>
      <c r="I38" s="11" t="s">
        <v>19</v>
      </c>
    </row>
    <row r="39" spans="1:9" ht="14.1" customHeight="1">
      <c r="B39" s="55">
        <v>48</v>
      </c>
      <c r="D39" s="11" t="s">
        <v>748</v>
      </c>
      <c r="E39" s="11" t="s">
        <v>27</v>
      </c>
      <c r="F39" s="14">
        <v>1</v>
      </c>
      <c r="G39" s="37" t="s">
        <v>28</v>
      </c>
      <c r="H39" s="61" t="s">
        <v>784</v>
      </c>
      <c r="I39" s="11" t="s">
        <v>29</v>
      </c>
    </row>
    <row r="40" spans="1:9" ht="14.1" customHeight="1">
      <c r="B40" s="55">
        <v>53</v>
      </c>
      <c r="D40" s="11" t="s">
        <v>397</v>
      </c>
      <c r="E40" s="11" t="s">
        <v>37</v>
      </c>
      <c r="F40" s="14">
        <v>4</v>
      </c>
      <c r="G40" s="37" t="s">
        <v>38</v>
      </c>
      <c r="H40" s="61" t="s">
        <v>784</v>
      </c>
      <c r="I40" s="11" t="s">
        <v>36</v>
      </c>
    </row>
    <row r="41" spans="1:9" ht="14.1" customHeight="1">
      <c r="B41" s="55">
        <v>55</v>
      </c>
      <c r="D41" s="11" t="s">
        <v>397</v>
      </c>
      <c r="E41" s="11" t="s">
        <v>42</v>
      </c>
      <c r="F41" s="14">
        <v>5</v>
      </c>
      <c r="G41" s="37" t="s">
        <v>38</v>
      </c>
      <c r="H41" s="61" t="s">
        <v>784</v>
      </c>
      <c r="I41" s="11" t="s">
        <v>41</v>
      </c>
    </row>
    <row r="42" spans="1:9" ht="14.1" customHeight="1">
      <c r="B42" s="55">
        <v>54</v>
      </c>
      <c r="D42" s="11" t="s">
        <v>628</v>
      </c>
      <c r="E42" s="11" t="s">
        <v>39</v>
      </c>
      <c r="F42" s="14">
        <v>9</v>
      </c>
      <c r="G42" s="37" t="s">
        <v>750</v>
      </c>
      <c r="H42" s="61" t="s">
        <v>784</v>
      </c>
      <c r="I42" s="11" t="s">
        <v>689</v>
      </c>
    </row>
    <row r="43" spans="1:9" ht="14.1" customHeight="1">
      <c r="B43" s="55">
        <v>56</v>
      </c>
      <c r="D43" s="11" t="s">
        <v>623</v>
      </c>
      <c r="E43" s="11" t="s">
        <v>44</v>
      </c>
      <c r="F43" s="14">
        <v>9</v>
      </c>
      <c r="G43" s="37" t="s">
        <v>38</v>
      </c>
      <c r="H43" s="61" t="s">
        <v>784</v>
      </c>
      <c r="I43" s="11" t="s">
        <v>43</v>
      </c>
    </row>
    <row r="44" spans="1:9" ht="14.1" customHeight="1">
      <c r="B44" s="55">
        <v>57</v>
      </c>
      <c r="D44" s="11" t="s">
        <v>217</v>
      </c>
      <c r="E44" s="11" t="s">
        <v>45</v>
      </c>
      <c r="F44" s="14">
        <v>14</v>
      </c>
      <c r="G44" s="37" t="s">
        <v>31</v>
      </c>
      <c r="H44" s="61" t="s">
        <v>784</v>
      </c>
      <c r="I44" s="11" t="s">
        <v>46</v>
      </c>
    </row>
    <row r="45" spans="1:9" ht="14.1" customHeight="1">
      <c r="B45" s="55">
        <v>58</v>
      </c>
      <c r="D45" s="11" t="s">
        <v>217</v>
      </c>
      <c r="E45" s="11" t="s">
        <v>48</v>
      </c>
      <c r="F45" s="14">
        <v>2</v>
      </c>
      <c r="G45" s="37" t="s">
        <v>31</v>
      </c>
      <c r="H45" s="61" t="s">
        <v>784</v>
      </c>
      <c r="I45" s="11" t="s">
        <v>49</v>
      </c>
    </row>
    <row r="46" spans="1:9" ht="14.1" customHeight="1">
      <c r="B46" s="55">
        <v>59</v>
      </c>
      <c r="D46" s="11" t="s">
        <v>217</v>
      </c>
      <c r="E46" s="11" t="s">
        <v>51</v>
      </c>
      <c r="F46" s="14">
        <v>1</v>
      </c>
      <c r="G46" s="37" t="s">
        <v>38</v>
      </c>
      <c r="H46" s="61" t="s">
        <v>784</v>
      </c>
      <c r="I46" s="11" t="s">
        <v>694</v>
      </c>
    </row>
    <row r="47" spans="1:9" ht="14.1" customHeight="1">
      <c r="A47" s="7">
        <v>1</v>
      </c>
      <c r="B47" s="55">
        <v>66</v>
      </c>
      <c r="D47" s="11" t="s">
        <v>402</v>
      </c>
      <c r="E47" s="11" t="s">
        <v>53</v>
      </c>
      <c r="F47" s="14">
        <v>16</v>
      </c>
      <c r="G47" s="37" t="s">
        <v>38</v>
      </c>
      <c r="H47" s="61" t="s">
        <v>784</v>
      </c>
      <c r="I47" s="11" t="s">
        <v>690</v>
      </c>
    </row>
    <row r="48" spans="1:9" ht="14.1" customHeight="1">
      <c r="B48" s="55">
        <v>68</v>
      </c>
      <c r="D48" s="11" t="s">
        <v>624</v>
      </c>
      <c r="E48" s="11" t="s">
        <v>65</v>
      </c>
      <c r="F48" s="14">
        <v>16</v>
      </c>
      <c r="G48" s="37" t="s">
        <v>66</v>
      </c>
      <c r="H48" s="61" t="s">
        <v>784</v>
      </c>
      <c r="I48" s="11" t="s">
        <v>64</v>
      </c>
    </row>
    <row r="49" spans="2:9" ht="14.1" customHeight="1">
      <c r="B49" s="55">
        <v>69</v>
      </c>
      <c r="D49" s="11" t="s">
        <v>625</v>
      </c>
      <c r="E49" s="11" t="s">
        <v>753</v>
      </c>
      <c r="F49" s="14">
        <v>7</v>
      </c>
      <c r="G49" s="37" t="s">
        <v>66</v>
      </c>
      <c r="H49" s="61" t="s">
        <v>784</v>
      </c>
      <c r="I49" s="11" t="s">
        <v>68</v>
      </c>
    </row>
    <row r="50" spans="2:9" ht="14.1" customHeight="1">
      <c r="B50" s="55">
        <v>70</v>
      </c>
      <c r="D50" s="11" t="s">
        <v>626</v>
      </c>
      <c r="E50" s="11" t="s">
        <v>69</v>
      </c>
      <c r="F50" s="14">
        <v>2</v>
      </c>
      <c r="G50" s="37" t="s">
        <v>66</v>
      </c>
      <c r="H50" s="61" t="s">
        <v>784</v>
      </c>
      <c r="I50" s="11" t="s">
        <v>71</v>
      </c>
    </row>
    <row r="51" spans="2:9" ht="14.1" customHeight="1">
      <c r="B51" s="55">
        <v>71</v>
      </c>
      <c r="D51" s="11" t="s">
        <v>627</v>
      </c>
      <c r="E51" s="11" t="s">
        <v>116</v>
      </c>
      <c r="F51" s="14">
        <v>2</v>
      </c>
      <c r="G51" s="37" t="s">
        <v>117</v>
      </c>
      <c r="H51" s="61" t="s">
        <v>784</v>
      </c>
      <c r="I51" s="11" t="s">
        <v>144</v>
      </c>
    </row>
    <row r="52" spans="2:9" ht="14.1" customHeight="1">
      <c r="B52" s="55">
        <v>72</v>
      </c>
      <c r="D52" s="11" t="s">
        <v>118</v>
      </c>
      <c r="E52" s="11" t="s">
        <v>119</v>
      </c>
      <c r="F52" s="14">
        <v>2</v>
      </c>
      <c r="G52" s="37" t="s">
        <v>117</v>
      </c>
      <c r="H52" s="61" t="s">
        <v>784</v>
      </c>
      <c r="I52" s="11" t="s">
        <v>142</v>
      </c>
    </row>
    <row r="53" spans="2:9" ht="14.1" customHeight="1">
      <c r="B53" s="55"/>
      <c r="D53" s="27" t="s">
        <v>810</v>
      </c>
      <c r="E53" s="27" t="s">
        <v>812</v>
      </c>
      <c r="F53" s="26">
        <v>11</v>
      </c>
      <c r="G53" s="61" t="s">
        <v>749</v>
      </c>
      <c r="H53" s="61" t="s">
        <v>784</v>
      </c>
      <c r="I53" s="27" t="s">
        <v>813</v>
      </c>
    </row>
    <row r="54" spans="2:9" ht="14.1" customHeight="1">
      <c r="B54" s="55"/>
      <c r="D54" s="27" t="s">
        <v>160</v>
      </c>
      <c r="E54" s="27" t="s">
        <v>811</v>
      </c>
      <c r="F54" s="26">
        <v>23</v>
      </c>
      <c r="G54" s="61" t="s">
        <v>749</v>
      </c>
      <c r="H54" s="61" t="s">
        <v>784</v>
      </c>
      <c r="I54" s="27" t="s">
        <v>809</v>
      </c>
    </row>
    <row r="55" spans="2:9" ht="14.1" customHeight="1">
      <c r="B55" s="55"/>
      <c r="D55" s="11" t="s">
        <v>670</v>
      </c>
      <c r="E55" s="11" t="s">
        <v>738</v>
      </c>
      <c r="F55" s="14">
        <v>1</v>
      </c>
      <c r="G55" s="37" t="s">
        <v>749</v>
      </c>
      <c r="H55" s="61" t="s">
        <v>784</v>
      </c>
      <c r="I55" s="11" t="s">
        <v>141</v>
      </c>
    </row>
    <row r="56" spans="2:9" ht="14.1" customHeight="1">
      <c r="B56" s="55">
        <v>73</v>
      </c>
      <c r="D56" s="11" t="s">
        <v>621</v>
      </c>
      <c r="E56" s="11" t="s">
        <v>35</v>
      </c>
      <c r="F56" s="14">
        <v>1</v>
      </c>
      <c r="G56" s="37" t="s">
        <v>28</v>
      </c>
      <c r="H56" s="61" t="s">
        <v>784</v>
      </c>
      <c r="I56" s="11" t="s">
        <v>685</v>
      </c>
    </row>
    <row r="57" spans="2:9" ht="14.1" customHeight="1">
      <c r="B57" s="55">
        <v>74</v>
      </c>
      <c r="D57" s="11" t="s">
        <v>654</v>
      </c>
      <c r="E57" s="11" t="s">
        <v>60</v>
      </c>
      <c r="F57" s="14">
        <v>1</v>
      </c>
      <c r="G57" s="37" t="s">
        <v>28</v>
      </c>
      <c r="H57" s="61" t="s">
        <v>784</v>
      </c>
      <c r="I57" s="11" t="s">
        <v>686</v>
      </c>
    </row>
    <row r="58" spans="2:9" ht="14.1" customHeight="1">
      <c r="B58" s="55">
        <v>75</v>
      </c>
      <c r="D58" s="11" t="s">
        <v>629</v>
      </c>
      <c r="E58" s="11" t="s">
        <v>33</v>
      </c>
      <c r="F58" s="14">
        <v>3</v>
      </c>
      <c r="G58" s="37" t="s">
        <v>28</v>
      </c>
      <c r="H58" s="61" t="s">
        <v>784</v>
      </c>
      <c r="I58" s="11" t="s">
        <v>653</v>
      </c>
    </row>
    <row r="59" spans="2:9" ht="14.1" customHeight="1">
      <c r="B59" s="55">
        <v>76</v>
      </c>
      <c r="D59" s="11" t="s">
        <v>650</v>
      </c>
      <c r="E59" s="11" t="s">
        <v>58</v>
      </c>
      <c r="F59" s="14">
        <v>3</v>
      </c>
      <c r="G59" s="37" t="s">
        <v>28</v>
      </c>
      <c r="H59" s="61" t="s">
        <v>784</v>
      </c>
      <c r="I59" s="11" t="s">
        <v>649</v>
      </c>
    </row>
    <row r="60" spans="2:9" ht="14.1" customHeight="1">
      <c r="B60" s="55">
        <v>77</v>
      </c>
      <c r="D60" s="11" t="s">
        <v>620</v>
      </c>
      <c r="E60" s="11" t="s">
        <v>62</v>
      </c>
      <c r="F60" s="14">
        <v>1</v>
      </c>
      <c r="G60" s="37" t="s">
        <v>28</v>
      </c>
      <c r="H60" s="61" t="s">
        <v>784</v>
      </c>
      <c r="I60" s="11" t="s">
        <v>63</v>
      </c>
    </row>
    <row r="61" spans="2:9" ht="15.95" customHeight="1">
      <c r="D61" s="104" t="s">
        <v>643</v>
      </c>
      <c r="E61" s="105" t="s">
        <v>139</v>
      </c>
      <c r="F61" s="105" t="s">
        <v>139</v>
      </c>
      <c r="G61" s="105" t="s">
        <v>139</v>
      </c>
      <c r="H61" s="105" t="s">
        <v>139</v>
      </c>
      <c r="I61" s="106" t="s">
        <v>139</v>
      </c>
    </row>
    <row r="62" spans="2:9" ht="15.95" customHeight="1">
      <c r="D62" s="98" t="s">
        <v>132</v>
      </c>
      <c r="E62" s="98" t="s">
        <v>133</v>
      </c>
      <c r="F62" s="98" t="s">
        <v>136</v>
      </c>
      <c r="G62" s="98" t="s">
        <v>366</v>
      </c>
      <c r="H62" s="98" t="s">
        <v>134</v>
      </c>
      <c r="I62" s="98" t="s">
        <v>135</v>
      </c>
    </row>
    <row r="63" spans="2:9" ht="14.1" customHeight="1">
      <c r="D63" s="27" t="s">
        <v>365</v>
      </c>
      <c r="E63" s="27" t="s">
        <v>364</v>
      </c>
      <c r="F63" s="26">
        <v>8</v>
      </c>
      <c r="G63" s="61" t="s">
        <v>255</v>
      </c>
      <c r="H63" s="61" t="s">
        <v>784</v>
      </c>
      <c r="I63" s="27" t="s">
        <v>363</v>
      </c>
    </row>
    <row r="64" spans="2:9" ht="14.1" customHeight="1">
      <c r="D64" s="27" t="s">
        <v>362</v>
      </c>
      <c r="E64" s="27" t="s">
        <v>361</v>
      </c>
      <c r="F64" s="26">
        <v>48</v>
      </c>
      <c r="G64" s="61" t="s">
        <v>255</v>
      </c>
      <c r="H64" s="61" t="s">
        <v>784</v>
      </c>
      <c r="I64" s="27" t="s">
        <v>360</v>
      </c>
    </row>
    <row r="65" spans="4:9" ht="14.1" customHeight="1">
      <c r="D65" s="27" t="s">
        <v>359</v>
      </c>
      <c r="E65" s="27" t="s">
        <v>358</v>
      </c>
      <c r="F65" s="26">
        <v>16</v>
      </c>
      <c r="G65" s="61" t="s">
        <v>255</v>
      </c>
      <c r="H65" s="61" t="s">
        <v>784</v>
      </c>
      <c r="I65" s="27" t="s">
        <v>357</v>
      </c>
    </row>
    <row r="66" spans="4:9" ht="14.1" customHeight="1">
      <c r="D66" s="27" t="s">
        <v>356</v>
      </c>
      <c r="E66" s="27" t="s">
        <v>355</v>
      </c>
      <c r="F66" s="26">
        <v>32</v>
      </c>
      <c r="G66" s="61" t="s">
        <v>255</v>
      </c>
      <c r="H66" s="61" t="s">
        <v>784</v>
      </c>
      <c r="I66" s="27" t="s">
        <v>354</v>
      </c>
    </row>
    <row r="67" spans="4:9" ht="14.1" customHeight="1">
      <c r="D67" s="27" t="s">
        <v>353</v>
      </c>
      <c r="E67" s="27" t="s">
        <v>352</v>
      </c>
      <c r="F67" s="26">
        <v>16</v>
      </c>
      <c r="G67" s="61" t="s">
        <v>255</v>
      </c>
      <c r="H67" s="61" t="s">
        <v>784</v>
      </c>
      <c r="I67" s="27" t="s">
        <v>351</v>
      </c>
    </row>
    <row r="68" spans="4:9" ht="14.1" customHeight="1">
      <c r="D68" s="27" t="s">
        <v>350</v>
      </c>
      <c r="E68" s="27" t="s">
        <v>349</v>
      </c>
      <c r="F68" s="26">
        <v>16</v>
      </c>
      <c r="G68" s="61" t="s">
        <v>255</v>
      </c>
      <c r="H68" s="61" t="s">
        <v>784</v>
      </c>
      <c r="I68" s="27" t="s">
        <v>348</v>
      </c>
    </row>
    <row r="69" spans="4:9" ht="14.1" customHeight="1">
      <c r="D69" s="27" t="s">
        <v>108</v>
      </c>
      <c r="E69" s="27" t="s">
        <v>347</v>
      </c>
      <c r="F69" s="26">
        <v>56</v>
      </c>
      <c r="G69" s="61" t="s">
        <v>255</v>
      </c>
      <c r="H69" s="61" t="s">
        <v>784</v>
      </c>
      <c r="I69" s="27" t="s">
        <v>346</v>
      </c>
    </row>
    <row r="70" spans="4:9" ht="14.1" customHeight="1">
      <c r="D70" s="27" t="s">
        <v>340</v>
      </c>
      <c r="E70" s="27" t="s">
        <v>339</v>
      </c>
      <c r="F70" s="26">
        <v>32</v>
      </c>
      <c r="G70" s="61" t="s">
        <v>255</v>
      </c>
      <c r="H70" s="61" t="s">
        <v>784</v>
      </c>
      <c r="I70" s="27" t="s">
        <v>338</v>
      </c>
    </row>
    <row r="71" spans="4:9" ht="14.1" customHeight="1">
      <c r="D71" s="27" t="s">
        <v>337</v>
      </c>
      <c r="E71" s="27" t="s">
        <v>336</v>
      </c>
      <c r="F71" s="26">
        <v>32</v>
      </c>
      <c r="G71" s="61" t="s">
        <v>255</v>
      </c>
      <c r="H71" s="61" t="s">
        <v>784</v>
      </c>
      <c r="I71" s="27" t="s">
        <v>335</v>
      </c>
    </row>
    <row r="72" spans="4:9" ht="14.1" customHeight="1">
      <c r="D72" s="27" t="s">
        <v>334</v>
      </c>
      <c r="E72" s="27" t="s">
        <v>333</v>
      </c>
      <c r="F72" s="26">
        <v>16</v>
      </c>
      <c r="G72" s="61" t="s">
        <v>255</v>
      </c>
      <c r="H72" s="61" t="s">
        <v>784</v>
      </c>
      <c r="I72" s="27" t="s">
        <v>332</v>
      </c>
    </row>
    <row r="73" spans="4:9" ht="14.1" customHeight="1">
      <c r="D73" s="27" t="s">
        <v>91</v>
      </c>
      <c r="E73" s="27" t="s">
        <v>331</v>
      </c>
      <c r="F73" s="26">
        <v>16</v>
      </c>
      <c r="G73" s="61" t="s">
        <v>255</v>
      </c>
      <c r="H73" s="61" t="s">
        <v>784</v>
      </c>
      <c r="I73" s="27" t="s">
        <v>330</v>
      </c>
    </row>
    <row r="74" spans="4:9" ht="14.1" customHeight="1">
      <c r="D74" s="27" t="s">
        <v>84</v>
      </c>
      <c r="E74" s="27" t="s">
        <v>329</v>
      </c>
      <c r="F74" s="26">
        <v>24</v>
      </c>
      <c r="G74" s="61" t="s">
        <v>255</v>
      </c>
      <c r="H74" s="61" t="s">
        <v>784</v>
      </c>
      <c r="I74" s="27" t="s">
        <v>328</v>
      </c>
    </row>
    <row r="75" spans="4:9" ht="14.1" customHeight="1">
      <c r="D75" s="27" t="s">
        <v>327</v>
      </c>
      <c r="E75" s="27" t="s">
        <v>326</v>
      </c>
      <c r="F75" s="26">
        <v>16</v>
      </c>
      <c r="G75" s="61" t="s">
        <v>255</v>
      </c>
      <c r="H75" s="61" t="s">
        <v>784</v>
      </c>
      <c r="I75" s="27" t="s">
        <v>325</v>
      </c>
    </row>
    <row r="76" spans="4:9" ht="14.1" customHeight="1">
      <c r="D76" s="27" t="s">
        <v>73</v>
      </c>
      <c r="E76" s="27" t="s">
        <v>324</v>
      </c>
      <c r="F76" s="26">
        <v>128</v>
      </c>
      <c r="G76" s="61" t="s">
        <v>255</v>
      </c>
      <c r="H76" s="61" t="s">
        <v>784</v>
      </c>
      <c r="I76" s="27" t="s">
        <v>323</v>
      </c>
    </row>
    <row r="77" spans="4:9" ht="14.1" customHeight="1">
      <c r="D77" s="27" t="s">
        <v>322</v>
      </c>
      <c r="E77" s="27" t="s">
        <v>321</v>
      </c>
      <c r="F77" s="26">
        <v>8</v>
      </c>
      <c r="G77" s="61" t="s">
        <v>255</v>
      </c>
      <c r="H77" s="61" t="s">
        <v>784</v>
      </c>
      <c r="I77" s="27" t="s">
        <v>320</v>
      </c>
    </row>
    <row r="78" spans="4:9" ht="14.1" customHeight="1">
      <c r="D78" s="27" t="s">
        <v>319</v>
      </c>
      <c r="E78" s="27" t="s">
        <v>318</v>
      </c>
      <c r="F78" s="26">
        <v>16</v>
      </c>
      <c r="G78" s="61" t="s">
        <v>24</v>
      </c>
      <c r="H78" s="61" t="s">
        <v>784</v>
      </c>
      <c r="I78" s="27" t="s">
        <v>317</v>
      </c>
    </row>
    <row r="79" spans="4:9" ht="14.1" customHeight="1">
      <c r="D79" s="27" t="s">
        <v>316</v>
      </c>
      <c r="E79" s="27" t="s">
        <v>315</v>
      </c>
      <c r="F79" s="26">
        <v>16</v>
      </c>
      <c r="G79" s="61" t="s">
        <v>255</v>
      </c>
      <c r="H79" s="61" t="s">
        <v>784</v>
      </c>
      <c r="I79" s="27" t="s">
        <v>314</v>
      </c>
    </row>
    <row r="80" spans="4:9" ht="14.1" customHeight="1">
      <c r="D80" s="27" t="s">
        <v>313</v>
      </c>
      <c r="E80" s="27" t="s">
        <v>312</v>
      </c>
      <c r="F80" s="26">
        <v>48</v>
      </c>
      <c r="G80" s="61" t="s">
        <v>24</v>
      </c>
      <c r="H80" s="61" t="s">
        <v>784</v>
      </c>
      <c r="I80" s="27" t="s">
        <v>311</v>
      </c>
    </row>
    <row r="81" spans="4:9" ht="14.1" customHeight="1">
      <c r="D81" s="27" t="s">
        <v>310</v>
      </c>
      <c r="E81" s="27" t="s">
        <v>309</v>
      </c>
      <c r="F81" s="26">
        <v>40</v>
      </c>
      <c r="G81" s="61" t="s">
        <v>255</v>
      </c>
      <c r="H81" s="61" t="s">
        <v>784</v>
      </c>
      <c r="I81" s="27" t="s">
        <v>308</v>
      </c>
    </row>
    <row r="82" spans="4:9" ht="14.1" customHeight="1">
      <c r="D82" s="27" t="s">
        <v>307</v>
      </c>
      <c r="E82" s="27" t="s">
        <v>306</v>
      </c>
      <c r="F82" s="26">
        <v>16</v>
      </c>
      <c r="G82" s="61" t="s">
        <v>24</v>
      </c>
      <c r="H82" s="61" t="s">
        <v>784</v>
      </c>
      <c r="I82" s="27" t="s">
        <v>305</v>
      </c>
    </row>
    <row r="83" spans="4:9" ht="14.1" customHeight="1">
      <c r="D83" s="27" t="s">
        <v>89</v>
      </c>
      <c r="E83" s="27" t="s">
        <v>304</v>
      </c>
      <c r="F83" s="26">
        <v>8</v>
      </c>
      <c r="G83" s="61" t="s">
        <v>255</v>
      </c>
      <c r="H83" s="61" t="s">
        <v>784</v>
      </c>
      <c r="I83" s="27" t="s">
        <v>303</v>
      </c>
    </row>
    <row r="84" spans="4:9" ht="14.1" customHeight="1">
      <c r="D84" s="27" t="s">
        <v>302</v>
      </c>
      <c r="E84" s="27" t="s">
        <v>301</v>
      </c>
      <c r="F84" s="26">
        <v>16</v>
      </c>
      <c r="G84" s="61" t="s">
        <v>24</v>
      </c>
      <c r="H84" s="61" t="s">
        <v>784</v>
      </c>
      <c r="I84" s="27" t="s">
        <v>300</v>
      </c>
    </row>
    <row r="85" spans="4:9" ht="14.1" customHeight="1">
      <c r="D85" s="27" t="s">
        <v>299</v>
      </c>
      <c r="E85" s="27" t="s">
        <v>298</v>
      </c>
      <c r="F85" s="26">
        <v>56</v>
      </c>
      <c r="G85" s="61" t="s">
        <v>255</v>
      </c>
      <c r="H85" s="61" t="s">
        <v>784</v>
      </c>
      <c r="I85" s="27" t="s">
        <v>297</v>
      </c>
    </row>
    <row r="86" spans="4:9" ht="14.1" customHeight="1">
      <c r="D86" s="27" t="s">
        <v>296</v>
      </c>
      <c r="E86" s="27" t="s">
        <v>295</v>
      </c>
      <c r="F86" s="26">
        <v>16</v>
      </c>
      <c r="G86" s="61" t="s">
        <v>24</v>
      </c>
      <c r="H86" s="61" t="s">
        <v>784</v>
      </c>
      <c r="I86" s="27" t="s">
        <v>294</v>
      </c>
    </row>
    <row r="87" spans="4:9" ht="14.1" customHeight="1">
      <c r="D87" s="27" t="s">
        <v>293</v>
      </c>
      <c r="E87" s="27" t="s">
        <v>292</v>
      </c>
      <c r="F87" s="26">
        <v>16</v>
      </c>
      <c r="G87" s="61" t="s">
        <v>24</v>
      </c>
      <c r="H87" s="61" t="s">
        <v>784</v>
      </c>
      <c r="I87" s="27" t="s">
        <v>291</v>
      </c>
    </row>
    <row r="88" spans="4:9" ht="14.1" customHeight="1">
      <c r="D88" s="27" t="s">
        <v>290</v>
      </c>
      <c r="E88" s="27" t="s">
        <v>289</v>
      </c>
      <c r="F88" s="26">
        <v>16</v>
      </c>
      <c r="G88" s="61" t="s">
        <v>24</v>
      </c>
      <c r="H88" s="61" t="s">
        <v>784</v>
      </c>
      <c r="I88" s="27" t="s">
        <v>288</v>
      </c>
    </row>
    <row r="89" spans="4:9" ht="14.1" customHeight="1">
      <c r="D89" s="27" t="s">
        <v>287</v>
      </c>
      <c r="E89" s="27" t="s">
        <v>286</v>
      </c>
      <c r="F89" s="26">
        <v>8</v>
      </c>
      <c r="G89" s="61" t="s">
        <v>24</v>
      </c>
      <c r="H89" s="61" t="s">
        <v>784</v>
      </c>
      <c r="I89" s="27" t="s">
        <v>285</v>
      </c>
    </row>
    <row r="90" spans="4:9" ht="14.1" customHeight="1">
      <c r="D90" s="27" t="s">
        <v>100</v>
      </c>
      <c r="E90" s="27" t="s">
        <v>284</v>
      </c>
      <c r="F90" s="26">
        <v>24</v>
      </c>
      <c r="G90" s="61" t="s">
        <v>255</v>
      </c>
      <c r="H90" s="61" t="s">
        <v>784</v>
      </c>
      <c r="I90" s="27" t="s">
        <v>283</v>
      </c>
    </row>
    <row r="91" spans="4:9" ht="14.1" customHeight="1">
      <c r="D91" s="27" t="s">
        <v>282</v>
      </c>
      <c r="E91" s="27" t="s">
        <v>281</v>
      </c>
      <c r="F91" s="26">
        <v>16</v>
      </c>
      <c r="G91" s="61" t="s">
        <v>255</v>
      </c>
      <c r="H91" s="61" t="s">
        <v>784</v>
      </c>
      <c r="I91" s="27" t="s">
        <v>280</v>
      </c>
    </row>
    <row r="92" spans="4:9" s="56" customFormat="1" ht="30" customHeight="1">
      <c r="D92" s="33" t="s">
        <v>72</v>
      </c>
      <c r="E92" s="33" t="s">
        <v>279</v>
      </c>
      <c r="F92" s="108">
        <v>248</v>
      </c>
      <c r="G92" s="107" t="s">
        <v>255</v>
      </c>
      <c r="H92" s="109" t="s">
        <v>784</v>
      </c>
      <c r="I92" s="33" t="s">
        <v>278</v>
      </c>
    </row>
    <row r="93" spans="4:9" ht="14.1" customHeight="1">
      <c r="D93" s="27" t="s">
        <v>277</v>
      </c>
      <c r="E93" s="27" t="s">
        <v>276</v>
      </c>
      <c r="F93" s="26">
        <v>16</v>
      </c>
      <c r="G93" s="61" t="s">
        <v>255</v>
      </c>
      <c r="H93" s="61" t="s">
        <v>784</v>
      </c>
      <c r="I93" s="27" t="s">
        <v>275</v>
      </c>
    </row>
    <row r="94" spans="4:9" ht="14.1" customHeight="1">
      <c r="D94" s="27" t="s">
        <v>96</v>
      </c>
      <c r="E94" s="27" t="s">
        <v>274</v>
      </c>
      <c r="F94" s="26">
        <v>16</v>
      </c>
      <c r="G94" s="61" t="s">
        <v>255</v>
      </c>
      <c r="H94" s="61" t="s">
        <v>784</v>
      </c>
      <c r="I94" s="27" t="s">
        <v>273</v>
      </c>
    </row>
    <row r="95" spans="4:9" ht="14.1" customHeight="1">
      <c r="D95" s="27" t="s">
        <v>272</v>
      </c>
      <c r="E95" s="27" t="s">
        <v>271</v>
      </c>
      <c r="F95" s="26">
        <v>8</v>
      </c>
      <c r="G95" s="61" t="s">
        <v>255</v>
      </c>
      <c r="H95" s="61" t="s">
        <v>784</v>
      </c>
      <c r="I95" s="27" t="s">
        <v>270</v>
      </c>
    </row>
    <row r="96" spans="4:9" ht="14.1" customHeight="1">
      <c r="D96" s="27" t="s">
        <v>269</v>
      </c>
      <c r="E96" s="27" t="s">
        <v>268</v>
      </c>
      <c r="F96" s="26">
        <v>8</v>
      </c>
      <c r="G96" s="61" t="s">
        <v>255</v>
      </c>
      <c r="H96" s="61" t="s">
        <v>784</v>
      </c>
      <c r="I96" s="27" t="s">
        <v>267</v>
      </c>
    </row>
    <row r="97" spans="4:9" ht="14.1" customHeight="1">
      <c r="D97" s="27" t="s">
        <v>78</v>
      </c>
      <c r="E97" s="27" t="s">
        <v>266</v>
      </c>
      <c r="F97" s="26">
        <v>16</v>
      </c>
      <c r="G97" s="61" t="s">
        <v>24</v>
      </c>
      <c r="H97" s="61" t="s">
        <v>784</v>
      </c>
      <c r="I97" s="27" t="s">
        <v>265</v>
      </c>
    </row>
    <row r="98" spans="4:9" ht="14.1" customHeight="1">
      <c r="D98" s="27" t="s">
        <v>264</v>
      </c>
      <c r="E98" s="27" t="s">
        <v>263</v>
      </c>
      <c r="F98" s="26">
        <v>16</v>
      </c>
      <c r="G98" s="61" t="s">
        <v>24</v>
      </c>
      <c r="H98" s="61" t="s">
        <v>784</v>
      </c>
      <c r="I98" s="27" t="s">
        <v>262</v>
      </c>
    </row>
    <row r="99" spans="4:9" ht="14.1" customHeight="1">
      <c r="D99" s="27" t="s">
        <v>261</v>
      </c>
      <c r="E99" s="27" t="s">
        <v>260</v>
      </c>
      <c r="F99" s="26">
        <v>16</v>
      </c>
      <c r="G99" s="61" t="s">
        <v>24</v>
      </c>
      <c r="H99" s="61" t="s">
        <v>784</v>
      </c>
      <c r="I99" s="27" t="s">
        <v>259</v>
      </c>
    </row>
    <row r="100" spans="4:9" ht="14.1" customHeight="1">
      <c r="D100" s="27" t="s">
        <v>87</v>
      </c>
      <c r="E100" s="27" t="s">
        <v>258</v>
      </c>
      <c r="F100" s="26">
        <v>16</v>
      </c>
      <c r="G100" s="61" t="s">
        <v>255</v>
      </c>
      <c r="H100" s="61" t="s">
        <v>784</v>
      </c>
      <c r="I100" s="27" t="s">
        <v>257</v>
      </c>
    </row>
    <row r="101" spans="4:9" ht="14.1" customHeight="1">
      <c r="D101" s="27" t="s">
        <v>94</v>
      </c>
      <c r="E101" s="27" t="s">
        <v>256</v>
      </c>
      <c r="F101" s="26">
        <v>8</v>
      </c>
      <c r="G101" s="61" t="s">
        <v>255</v>
      </c>
      <c r="H101" s="61" t="s">
        <v>784</v>
      </c>
      <c r="I101" s="27" t="s">
        <v>254</v>
      </c>
    </row>
    <row r="102" spans="4:9" ht="14.1" customHeight="1">
      <c r="D102" s="27" t="s">
        <v>122</v>
      </c>
      <c r="E102" s="27" t="s">
        <v>253</v>
      </c>
      <c r="F102" s="26">
        <v>16</v>
      </c>
      <c r="G102" s="61" t="s">
        <v>24</v>
      </c>
      <c r="H102" s="61" t="s">
        <v>784</v>
      </c>
      <c r="I102" s="27" t="s">
        <v>252</v>
      </c>
    </row>
    <row r="103" spans="4:9" ht="14.1" customHeight="1">
      <c r="D103" s="27" t="s">
        <v>251</v>
      </c>
      <c r="E103" s="27" t="s">
        <v>250</v>
      </c>
      <c r="F103" s="26">
        <v>16</v>
      </c>
      <c r="G103" s="61" t="s">
        <v>24</v>
      </c>
      <c r="H103" s="61" t="s">
        <v>784</v>
      </c>
      <c r="I103" s="27" t="s">
        <v>249</v>
      </c>
    </row>
    <row r="104" spans="4:9" ht="14.1" customHeight="1">
      <c r="D104" s="27" t="s">
        <v>16</v>
      </c>
      <c r="E104" s="27" t="s">
        <v>248</v>
      </c>
      <c r="F104" s="26">
        <v>16</v>
      </c>
      <c r="G104" s="61" t="s">
        <v>2</v>
      </c>
      <c r="H104" s="61" t="s">
        <v>784</v>
      </c>
      <c r="I104" s="27" t="s">
        <v>247</v>
      </c>
    </row>
    <row r="105" spans="4:9" ht="14.1" customHeight="1">
      <c r="D105" s="27" t="s">
        <v>246</v>
      </c>
      <c r="E105" s="27" t="s">
        <v>245</v>
      </c>
      <c r="F105" s="26">
        <v>24</v>
      </c>
      <c r="G105" s="61" t="s">
        <v>31</v>
      </c>
      <c r="H105" s="61" t="s">
        <v>784</v>
      </c>
      <c r="I105" s="27" t="s">
        <v>244</v>
      </c>
    </row>
    <row r="106" spans="4:9" ht="14.1" customHeight="1">
      <c r="D106" s="27" t="s">
        <v>243</v>
      </c>
      <c r="E106" s="27" t="s">
        <v>242</v>
      </c>
      <c r="F106" s="26">
        <v>16</v>
      </c>
      <c r="G106" s="61" t="s">
        <v>241</v>
      </c>
      <c r="H106" s="61" t="s">
        <v>784</v>
      </c>
      <c r="I106" s="27" t="s">
        <v>240</v>
      </c>
    </row>
    <row r="107" spans="4:9" ht="14.1" customHeight="1">
      <c r="D107" s="27" t="s">
        <v>239</v>
      </c>
      <c r="E107" s="27" t="s">
        <v>238</v>
      </c>
      <c r="F107" s="26">
        <v>24</v>
      </c>
      <c r="G107" s="61" t="s">
        <v>4</v>
      </c>
      <c r="H107" s="61" t="s">
        <v>784</v>
      </c>
      <c r="I107" s="27" t="s">
        <v>237</v>
      </c>
    </row>
    <row r="108" spans="4:9" ht="14.1" customHeight="1">
      <c r="D108" s="27" t="s">
        <v>236</v>
      </c>
      <c r="E108" s="27" t="s">
        <v>235</v>
      </c>
      <c r="F108" s="26">
        <v>16</v>
      </c>
      <c r="G108" s="61" t="s">
        <v>4</v>
      </c>
      <c r="H108" s="61" t="s">
        <v>784</v>
      </c>
      <c r="I108" s="27" t="s">
        <v>234</v>
      </c>
    </row>
    <row r="109" spans="4:9" ht="14.1" customHeight="1">
      <c r="D109" s="27" t="s">
        <v>6</v>
      </c>
      <c r="E109" s="27" t="s">
        <v>233</v>
      </c>
      <c r="F109" s="26">
        <v>24</v>
      </c>
      <c r="G109" s="61" t="s">
        <v>4</v>
      </c>
      <c r="H109" s="61" t="s">
        <v>784</v>
      </c>
      <c r="I109" s="27" t="s">
        <v>232</v>
      </c>
    </row>
    <row r="110" spans="4:9" ht="14.1" customHeight="1">
      <c r="D110" s="27" t="s">
        <v>231</v>
      </c>
      <c r="E110" s="27" t="s">
        <v>230</v>
      </c>
      <c r="F110" s="26">
        <v>16</v>
      </c>
      <c r="G110" s="61" t="s">
        <v>4</v>
      </c>
      <c r="H110" s="61" t="s">
        <v>784</v>
      </c>
      <c r="I110" s="27" t="s">
        <v>816</v>
      </c>
    </row>
    <row r="111" spans="4:9" ht="14.1" customHeight="1">
      <c r="D111" s="27" t="s">
        <v>228</v>
      </c>
      <c r="E111" s="27" t="s">
        <v>227</v>
      </c>
      <c r="F111" s="26">
        <v>16</v>
      </c>
      <c r="G111" s="61" t="s">
        <v>4</v>
      </c>
      <c r="H111" s="61" t="s">
        <v>784</v>
      </c>
      <c r="I111" s="27" t="s">
        <v>814</v>
      </c>
    </row>
    <row r="112" spans="4:9" ht="14.1" customHeight="1">
      <c r="D112" s="27" t="s">
        <v>225</v>
      </c>
      <c r="E112" s="27" t="s">
        <v>224</v>
      </c>
      <c r="F112" s="26">
        <v>16</v>
      </c>
      <c r="G112" s="61" t="s">
        <v>4</v>
      </c>
      <c r="H112" s="61" t="s">
        <v>784</v>
      </c>
      <c r="I112" s="27" t="s">
        <v>815</v>
      </c>
    </row>
    <row r="113" spans="4:9" ht="14.1" customHeight="1">
      <c r="D113" s="27" t="s">
        <v>217</v>
      </c>
      <c r="E113" s="27" t="s">
        <v>216</v>
      </c>
      <c r="F113" s="26">
        <v>8</v>
      </c>
      <c r="G113" s="63" t="s">
        <v>38</v>
      </c>
      <c r="H113" s="61" t="s">
        <v>784</v>
      </c>
      <c r="I113" s="27" t="s">
        <v>145</v>
      </c>
    </row>
    <row r="114" spans="4:9" ht="14.1" customHeight="1">
      <c r="D114" s="27" t="s">
        <v>217</v>
      </c>
      <c r="E114" s="27" t="s">
        <v>669</v>
      </c>
      <c r="F114" s="26">
        <v>8</v>
      </c>
      <c r="G114" s="63" t="s">
        <v>31</v>
      </c>
      <c r="H114" s="61" t="s">
        <v>784</v>
      </c>
      <c r="I114" s="27" t="s">
        <v>668</v>
      </c>
    </row>
    <row r="115" spans="4:9" ht="14.1" customHeight="1">
      <c r="D115" s="27" t="s">
        <v>633</v>
      </c>
      <c r="E115" s="27" t="s">
        <v>215</v>
      </c>
      <c r="F115" s="26">
        <v>32</v>
      </c>
      <c r="G115" s="63" t="s">
        <v>38</v>
      </c>
      <c r="H115" s="61" t="s">
        <v>784</v>
      </c>
      <c r="I115" s="27" t="s">
        <v>691</v>
      </c>
    </row>
    <row r="116" spans="4:9" ht="14.1" customHeight="1">
      <c r="D116" s="27" t="s">
        <v>633</v>
      </c>
      <c r="E116" s="27" t="s">
        <v>214</v>
      </c>
      <c r="F116" s="26">
        <v>40</v>
      </c>
      <c r="G116" s="63" t="s">
        <v>55</v>
      </c>
      <c r="H116" s="61" t="s">
        <v>784</v>
      </c>
      <c r="I116" s="27" t="s">
        <v>213</v>
      </c>
    </row>
    <row r="117" spans="4:9" ht="14.1" customHeight="1">
      <c r="D117" s="27" t="s">
        <v>634</v>
      </c>
      <c r="E117" s="27" t="s">
        <v>212</v>
      </c>
      <c r="F117" s="26">
        <v>8</v>
      </c>
      <c r="G117" s="63" t="s">
        <v>55</v>
      </c>
      <c r="H117" s="61" t="s">
        <v>784</v>
      </c>
      <c r="I117" s="27" t="s">
        <v>211</v>
      </c>
    </row>
    <row r="118" spans="4:9" ht="14.1" customHeight="1">
      <c r="D118" s="27" t="s">
        <v>196</v>
      </c>
      <c r="E118" s="27" t="s">
        <v>198</v>
      </c>
      <c r="F118" s="26">
        <v>8</v>
      </c>
      <c r="G118" s="61" t="s">
        <v>194</v>
      </c>
      <c r="H118" s="61" t="s">
        <v>784</v>
      </c>
      <c r="I118" s="27" t="s">
        <v>197</v>
      </c>
    </row>
    <row r="119" spans="4:9" ht="14.1" customHeight="1">
      <c r="D119" s="27" t="s">
        <v>196</v>
      </c>
      <c r="E119" s="27" t="s">
        <v>195</v>
      </c>
      <c r="F119" s="26">
        <v>8</v>
      </c>
      <c r="G119" s="61" t="s">
        <v>194</v>
      </c>
      <c r="H119" s="61" t="s">
        <v>784</v>
      </c>
      <c r="I119" s="27" t="s">
        <v>193</v>
      </c>
    </row>
    <row r="120" spans="4:9" ht="14.1" customHeight="1">
      <c r="D120" s="27" t="s">
        <v>192</v>
      </c>
      <c r="E120" s="27" t="s">
        <v>191</v>
      </c>
      <c r="F120" s="26">
        <v>72</v>
      </c>
      <c r="G120" s="61" t="s">
        <v>190</v>
      </c>
      <c r="H120" s="61" t="s">
        <v>784</v>
      </c>
      <c r="I120" s="27" t="s">
        <v>189</v>
      </c>
    </row>
    <row r="121" spans="4:9" ht="14.1" customHeight="1">
      <c r="D121" s="27" t="s">
        <v>183</v>
      </c>
      <c r="E121" s="27" t="s">
        <v>182</v>
      </c>
      <c r="F121" s="26">
        <v>32</v>
      </c>
      <c r="G121" s="61" t="s">
        <v>18</v>
      </c>
      <c r="H121" s="61" t="s">
        <v>784</v>
      </c>
      <c r="I121" s="27" t="s">
        <v>71</v>
      </c>
    </row>
    <row r="122" spans="4:9" ht="14.1" customHeight="1">
      <c r="D122" s="27" t="s">
        <v>181</v>
      </c>
      <c r="E122" s="27" t="s">
        <v>180</v>
      </c>
      <c r="F122" s="26">
        <v>8</v>
      </c>
      <c r="G122" s="61" t="s">
        <v>179</v>
      </c>
      <c r="H122" s="61" t="s">
        <v>784</v>
      </c>
      <c r="I122" s="27" t="s">
        <v>178</v>
      </c>
    </row>
    <row r="123" spans="4:9" ht="14.1" customHeight="1">
      <c r="D123" s="27" t="s">
        <v>177</v>
      </c>
      <c r="E123" s="27" t="s">
        <v>176</v>
      </c>
      <c r="F123" s="26">
        <v>48</v>
      </c>
      <c r="G123" s="61" t="s">
        <v>526</v>
      </c>
      <c r="H123" s="61" t="s">
        <v>784</v>
      </c>
      <c r="I123" s="27" t="s">
        <v>19</v>
      </c>
    </row>
    <row r="124" spans="4:9" ht="14.1" customHeight="1">
      <c r="D124" s="27" t="s">
        <v>756</v>
      </c>
      <c r="E124" s="27" t="s">
        <v>175</v>
      </c>
      <c r="F124" s="26">
        <v>16</v>
      </c>
      <c r="G124" s="61" t="s">
        <v>117</v>
      </c>
      <c r="H124" s="61" t="s">
        <v>784</v>
      </c>
      <c r="I124" s="27" t="s">
        <v>174</v>
      </c>
    </row>
    <row r="125" spans="4:9" ht="14.1" customHeight="1">
      <c r="D125" s="27" t="s">
        <v>757</v>
      </c>
      <c r="E125" s="27" t="s">
        <v>173</v>
      </c>
      <c r="F125" s="26">
        <v>48</v>
      </c>
      <c r="G125" s="61" t="s">
        <v>117</v>
      </c>
      <c r="H125" s="61" t="s">
        <v>784</v>
      </c>
      <c r="I125" s="27" t="s">
        <v>172</v>
      </c>
    </row>
    <row r="126" spans="4:9" ht="14.1" customHeight="1">
      <c r="D126" s="27" t="s">
        <v>460</v>
      </c>
      <c r="E126" s="27" t="s">
        <v>171</v>
      </c>
      <c r="F126" s="26">
        <v>16</v>
      </c>
      <c r="G126" s="61" t="s">
        <v>117</v>
      </c>
      <c r="H126" s="61" t="s">
        <v>784</v>
      </c>
      <c r="I126" s="27" t="s">
        <v>170</v>
      </c>
    </row>
    <row r="127" spans="4:9" ht="14.1" customHeight="1">
      <c r="D127" s="27" t="s">
        <v>755</v>
      </c>
      <c r="E127" s="27" t="s">
        <v>169</v>
      </c>
      <c r="F127" s="26">
        <v>8</v>
      </c>
      <c r="G127" s="61" t="s">
        <v>117</v>
      </c>
      <c r="H127" s="61" t="s">
        <v>784</v>
      </c>
      <c r="I127" s="27" t="s">
        <v>168</v>
      </c>
    </row>
    <row r="128" spans="4:9" ht="14.1" customHeight="1">
      <c r="D128" s="27" t="s">
        <v>167</v>
      </c>
      <c r="E128" s="27" t="s">
        <v>166</v>
      </c>
      <c r="F128" s="26">
        <v>16</v>
      </c>
      <c r="G128" s="61" t="s">
        <v>165</v>
      </c>
      <c r="H128" s="61" t="s">
        <v>784</v>
      </c>
      <c r="I128" s="27" t="s">
        <v>164</v>
      </c>
    </row>
    <row r="129" spans="4:9" ht="14.1" customHeight="1">
      <c r="D129" s="27" t="s">
        <v>163</v>
      </c>
      <c r="E129" s="27" t="s">
        <v>162</v>
      </c>
      <c r="F129" s="26">
        <v>120</v>
      </c>
      <c r="G129" s="61" t="s">
        <v>749</v>
      </c>
      <c r="H129" s="61" t="s">
        <v>784</v>
      </c>
      <c r="I129" s="27" t="s">
        <v>808</v>
      </c>
    </row>
    <row r="130" spans="4:9" ht="14.1" customHeight="1">
      <c r="D130" s="27" t="s">
        <v>160</v>
      </c>
      <c r="E130" s="27" t="s">
        <v>159</v>
      </c>
      <c r="F130" s="26">
        <v>24</v>
      </c>
      <c r="G130" s="61" t="s">
        <v>749</v>
      </c>
      <c r="H130" s="61" t="s">
        <v>784</v>
      </c>
      <c r="I130" s="27" t="s">
        <v>809</v>
      </c>
    </row>
    <row r="131" spans="4:9" ht="14.1" customHeight="1">
      <c r="D131" s="27" t="s">
        <v>61</v>
      </c>
      <c r="E131" s="27" t="s">
        <v>156</v>
      </c>
      <c r="F131" s="26">
        <v>16</v>
      </c>
      <c r="G131" s="61" t="s">
        <v>28</v>
      </c>
      <c r="H131" s="61" t="s">
        <v>784</v>
      </c>
      <c r="I131" s="27" t="s">
        <v>155</v>
      </c>
    </row>
    <row r="132" spans="4:9" ht="14.1" customHeight="1">
      <c r="D132" s="27" t="s">
        <v>34</v>
      </c>
      <c r="E132" s="27" t="s">
        <v>154</v>
      </c>
      <c r="F132" s="26">
        <v>24</v>
      </c>
      <c r="G132" s="61" t="s">
        <v>28</v>
      </c>
      <c r="H132" s="61" t="s">
        <v>784</v>
      </c>
      <c r="I132" s="27" t="s">
        <v>153</v>
      </c>
    </row>
    <row r="133" spans="4:9" ht="14.1" customHeight="1">
      <c r="D133" s="27" t="s">
        <v>59</v>
      </c>
      <c r="E133" s="27" t="s">
        <v>152</v>
      </c>
      <c r="F133" s="26">
        <v>8</v>
      </c>
      <c r="G133" s="61" t="s">
        <v>28</v>
      </c>
      <c r="H133" s="61" t="s">
        <v>784</v>
      </c>
      <c r="I133" s="27" t="s">
        <v>151</v>
      </c>
    </row>
    <row r="134" spans="4:9" ht="14.1" customHeight="1">
      <c r="D134" s="27" t="s">
        <v>150</v>
      </c>
      <c r="E134" s="27" t="s">
        <v>149</v>
      </c>
      <c r="F134" s="26">
        <v>8</v>
      </c>
      <c r="G134" s="61" t="s">
        <v>28</v>
      </c>
      <c r="H134" s="61" t="s">
        <v>784</v>
      </c>
      <c r="I134" s="27" t="s">
        <v>147</v>
      </c>
    </row>
    <row r="135" spans="4:9" ht="14.1" customHeight="1">
      <c r="D135" s="27" t="s">
        <v>221</v>
      </c>
      <c r="E135" s="27" t="s">
        <v>220</v>
      </c>
      <c r="F135" s="26">
        <v>16</v>
      </c>
      <c r="G135" s="61" t="s">
        <v>80</v>
      </c>
      <c r="H135" s="61" t="s">
        <v>787</v>
      </c>
      <c r="I135" s="27" t="s">
        <v>788</v>
      </c>
    </row>
    <row r="136" spans="4:9" ht="14.1" customHeight="1">
      <c r="D136" s="132" t="s">
        <v>210</v>
      </c>
      <c r="E136" s="132" t="s">
        <v>209</v>
      </c>
      <c r="F136" s="136">
        <v>16</v>
      </c>
      <c r="G136" s="137" t="s">
        <v>207</v>
      </c>
      <c r="H136" s="138" t="s">
        <v>783</v>
      </c>
      <c r="I136" s="139" t="s">
        <v>206</v>
      </c>
    </row>
    <row r="137" spans="4:9" ht="14.1" customHeight="1">
      <c r="D137" s="132" t="s">
        <v>210</v>
      </c>
      <c r="E137" s="132" t="s">
        <v>209</v>
      </c>
      <c r="F137" s="136">
        <v>16</v>
      </c>
      <c r="G137" s="137" t="s">
        <v>207</v>
      </c>
      <c r="H137" s="138" t="s">
        <v>782</v>
      </c>
      <c r="I137" s="139" t="s">
        <v>206</v>
      </c>
    </row>
    <row r="138" spans="4:9" ht="14.1" customHeight="1">
      <c r="D138" s="132" t="s">
        <v>210</v>
      </c>
      <c r="E138" s="132" t="s">
        <v>209</v>
      </c>
      <c r="F138" s="136">
        <v>16</v>
      </c>
      <c r="G138" s="137" t="s">
        <v>207</v>
      </c>
      <c r="H138" s="138" t="s">
        <v>791</v>
      </c>
      <c r="I138" s="139" t="s">
        <v>206</v>
      </c>
    </row>
    <row r="139" spans="4:9" ht="14.1" customHeight="1">
      <c r="D139" s="27" t="s">
        <v>203</v>
      </c>
      <c r="E139" s="27" t="s">
        <v>202</v>
      </c>
      <c r="F139" s="26">
        <v>8</v>
      </c>
      <c r="G139" s="61" t="s">
        <v>200</v>
      </c>
      <c r="H139" s="101" t="s">
        <v>817</v>
      </c>
      <c r="I139" s="27" t="s">
        <v>786</v>
      </c>
    </row>
    <row r="140" spans="4:9" ht="14.1" customHeight="1">
      <c r="D140" s="132" t="s">
        <v>635</v>
      </c>
      <c r="E140" s="132" t="s">
        <v>205</v>
      </c>
      <c r="F140" s="136">
        <v>40</v>
      </c>
      <c r="G140" s="137" t="s">
        <v>86</v>
      </c>
      <c r="H140" s="138" t="s">
        <v>819</v>
      </c>
      <c r="I140" s="139" t="s">
        <v>818</v>
      </c>
    </row>
    <row r="141" spans="4:9" ht="14.1" customHeight="1">
      <c r="D141" s="132" t="s">
        <v>635</v>
      </c>
      <c r="E141" s="132" t="s">
        <v>205</v>
      </c>
      <c r="F141" s="136">
        <v>40</v>
      </c>
      <c r="G141" s="137" t="s">
        <v>86</v>
      </c>
      <c r="H141" s="138" t="s">
        <v>817</v>
      </c>
      <c r="I141" s="139" t="s">
        <v>818</v>
      </c>
    </row>
    <row r="142" spans="4:9" ht="14.1" customHeight="1">
      <c r="D142" s="27" t="s">
        <v>188</v>
      </c>
      <c r="E142" s="27" t="s">
        <v>187</v>
      </c>
      <c r="F142" s="26">
        <v>96</v>
      </c>
      <c r="G142" s="61" t="s">
        <v>820</v>
      </c>
      <c r="H142" s="61" t="s">
        <v>551</v>
      </c>
      <c r="I142" s="27" t="s">
        <v>184</v>
      </c>
    </row>
    <row r="143" spans="4:9" ht="14.1" customHeight="1">
      <c r="D143" s="132" t="s">
        <v>345</v>
      </c>
      <c r="E143" s="132" t="s">
        <v>344</v>
      </c>
      <c r="F143" s="136">
        <v>16</v>
      </c>
      <c r="G143" s="140" t="s">
        <v>342</v>
      </c>
      <c r="H143" s="138" t="s">
        <v>822</v>
      </c>
      <c r="I143" s="132" t="s">
        <v>821</v>
      </c>
    </row>
    <row r="144" spans="4:9" ht="14.1" customHeight="1">
      <c r="D144" s="132" t="s">
        <v>345</v>
      </c>
      <c r="E144" s="132" t="s">
        <v>344</v>
      </c>
      <c r="F144" s="136">
        <v>16</v>
      </c>
      <c r="G144" s="140" t="s">
        <v>342</v>
      </c>
      <c r="H144" s="138" t="s">
        <v>798</v>
      </c>
      <c r="I144" s="132" t="s">
        <v>821</v>
      </c>
    </row>
    <row r="145" spans="4:9" ht="15.95" customHeight="1">
      <c r="D145" s="97" t="s">
        <v>789</v>
      </c>
      <c r="E145" s="99" t="s">
        <v>139</v>
      </c>
      <c r="F145" s="99" t="s">
        <v>139</v>
      </c>
      <c r="G145" s="99" t="s">
        <v>139</v>
      </c>
      <c r="H145" s="99" t="s">
        <v>139</v>
      </c>
      <c r="I145" s="100" t="s">
        <v>139</v>
      </c>
    </row>
    <row r="146" spans="4:9" ht="15.95" customHeight="1">
      <c r="D146" s="98" t="s">
        <v>132</v>
      </c>
      <c r="E146" s="98" t="s">
        <v>133</v>
      </c>
      <c r="F146" s="98" t="s">
        <v>136</v>
      </c>
      <c r="G146" s="98" t="s">
        <v>366</v>
      </c>
      <c r="H146" s="98" t="s">
        <v>134</v>
      </c>
      <c r="I146" s="98" t="s">
        <v>135</v>
      </c>
    </row>
    <row r="147" spans="4:9" ht="14.1" customHeight="1">
      <c r="D147" s="1" t="s">
        <v>702</v>
      </c>
      <c r="E147" s="1" t="s">
        <v>601</v>
      </c>
      <c r="F147" s="2">
        <v>4</v>
      </c>
      <c r="G147" s="4" t="s">
        <v>255</v>
      </c>
      <c r="H147" s="61" t="s">
        <v>784</v>
      </c>
      <c r="I147" s="1" t="s">
        <v>763</v>
      </c>
    </row>
    <row r="148" spans="4:9" ht="14.1" customHeight="1">
      <c r="D148" s="1" t="s">
        <v>703</v>
      </c>
      <c r="E148" s="1" t="s">
        <v>594</v>
      </c>
      <c r="F148" s="2">
        <v>2</v>
      </c>
      <c r="G148" s="4" t="s">
        <v>2</v>
      </c>
      <c r="H148" s="61" t="s">
        <v>784</v>
      </c>
      <c r="I148" s="1" t="s">
        <v>706</v>
      </c>
    </row>
    <row r="149" spans="4:9" s="56" customFormat="1" ht="27.95" customHeight="1">
      <c r="D149" s="18" t="s">
        <v>704</v>
      </c>
      <c r="E149" s="19" t="s">
        <v>592</v>
      </c>
      <c r="F149" s="14">
        <v>42</v>
      </c>
      <c r="G149" s="37" t="s">
        <v>2</v>
      </c>
      <c r="H149" s="109" t="s">
        <v>784</v>
      </c>
      <c r="I149" s="18" t="s">
        <v>705</v>
      </c>
    </row>
    <row r="150" spans="4:9" s="56" customFormat="1" ht="27.95" customHeight="1">
      <c r="D150" s="18" t="s">
        <v>177</v>
      </c>
      <c r="E150" s="19" t="s">
        <v>607</v>
      </c>
      <c r="F150" s="14">
        <v>30</v>
      </c>
      <c r="G150" s="37" t="s">
        <v>18</v>
      </c>
      <c r="H150" s="109" t="s">
        <v>784</v>
      </c>
      <c r="I150" s="18" t="s">
        <v>19</v>
      </c>
    </row>
    <row r="151" spans="4:9" ht="14.1" customHeight="1">
      <c r="D151" s="1" t="s">
        <v>631</v>
      </c>
      <c r="E151" s="1" t="s">
        <v>595</v>
      </c>
      <c r="F151" s="2">
        <v>1</v>
      </c>
      <c r="G151" s="4" t="s">
        <v>117</v>
      </c>
      <c r="H151" s="61" t="s">
        <v>784</v>
      </c>
      <c r="I151" s="1" t="s">
        <v>611</v>
      </c>
    </row>
    <row r="152" spans="4:9" ht="14.1" customHeight="1">
      <c r="D152" s="1" t="s">
        <v>217</v>
      </c>
      <c r="E152" s="1" t="s">
        <v>596</v>
      </c>
      <c r="F152" s="2">
        <v>6</v>
      </c>
      <c r="G152" s="4" t="s">
        <v>38</v>
      </c>
      <c r="H152" s="61" t="s">
        <v>784</v>
      </c>
      <c r="I152" s="1" t="s">
        <v>694</v>
      </c>
    </row>
    <row r="153" spans="4:9" ht="14.1" customHeight="1">
      <c r="D153" s="1" t="s">
        <v>608</v>
      </c>
      <c r="E153" s="5" t="s">
        <v>597</v>
      </c>
      <c r="F153" s="2">
        <v>12</v>
      </c>
      <c r="G153" s="4" t="s">
        <v>179</v>
      </c>
      <c r="H153" s="61" t="s">
        <v>784</v>
      </c>
      <c r="I153" s="1" t="s">
        <v>701</v>
      </c>
    </row>
    <row r="154" spans="4:9" ht="14.1" customHeight="1">
      <c r="D154" s="118" t="s">
        <v>826</v>
      </c>
      <c r="E154" s="118" t="s">
        <v>603</v>
      </c>
      <c r="F154" s="119">
        <v>4</v>
      </c>
      <c r="G154" s="120" t="s">
        <v>698</v>
      </c>
      <c r="H154" s="120" t="s">
        <v>784</v>
      </c>
      <c r="I154" s="118" t="s">
        <v>824</v>
      </c>
    </row>
    <row r="155" spans="4:9" ht="14.1" customHeight="1">
      <c r="D155" s="118" t="s">
        <v>826</v>
      </c>
      <c r="E155" s="118" t="s">
        <v>603</v>
      </c>
      <c r="F155" s="119">
        <v>4</v>
      </c>
      <c r="G155" s="120" t="s">
        <v>823</v>
      </c>
      <c r="H155" s="120" t="s">
        <v>784</v>
      </c>
      <c r="I155" s="118" t="s">
        <v>825</v>
      </c>
    </row>
    <row r="156" spans="4:9" ht="14.1" customHeight="1">
      <c r="D156" s="118" t="s">
        <v>826</v>
      </c>
      <c r="E156" s="118" t="s">
        <v>603</v>
      </c>
      <c r="F156" s="119">
        <v>4</v>
      </c>
      <c r="G156" s="120" t="s">
        <v>609</v>
      </c>
      <c r="H156" s="120" t="s">
        <v>785</v>
      </c>
      <c r="I156" s="118" t="s">
        <v>834</v>
      </c>
    </row>
    <row r="157" spans="4:9" ht="27.95" customHeight="1">
      <c r="D157" s="121" t="s">
        <v>827</v>
      </c>
      <c r="E157" s="122" t="s">
        <v>832</v>
      </c>
      <c r="F157" s="115">
        <v>20</v>
      </c>
      <c r="G157" s="116" t="s">
        <v>698</v>
      </c>
      <c r="H157" s="116" t="s">
        <v>784</v>
      </c>
      <c r="I157" s="121" t="s">
        <v>828</v>
      </c>
    </row>
    <row r="158" spans="4:9" ht="27.95" customHeight="1">
      <c r="D158" s="121" t="s">
        <v>827</v>
      </c>
      <c r="E158" s="122" t="s">
        <v>832</v>
      </c>
      <c r="F158" s="115">
        <v>20</v>
      </c>
      <c r="G158" s="116" t="s">
        <v>823</v>
      </c>
      <c r="H158" s="116" t="s">
        <v>784</v>
      </c>
      <c r="I158" s="121" t="s">
        <v>829</v>
      </c>
    </row>
    <row r="159" spans="4:9" s="56" customFormat="1" ht="27.95" customHeight="1">
      <c r="D159" s="121" t="s">
        <v>827</v>
      </c>
      <c r="E159" s="122" t="s">
        <v>832</v>
      </c>
      <c r="F159" s="115">
        <v>20</v>
      </c>
      <c r="G159" s="116" t="s">
        <v>609</v>
      </c>
      <c r="H159" s="116" t="s">
        <v>785</v>
      </c>
      <c r="I159" s="121" t="s">
        <v>833</v>
      </c>
    </row>
    <row r="160" spans="4:9" s="56" customFormat="1" ht="14.1" customHeight="1">
      <c r="D160" s="123" t="s">
        <v>830</v>
      </c>
      <c r="E160" s="124" t="s">
        <v>831</v>
      </c>
      <c r="F160" s="111">
        <v>1</v>
      </c>
      <c r="G160" s="112" t="s">
        <v>698</v>
      </c>
      <c r="H160" s="125" t="s">
        <v>784</v>
      </c>
      <c r="I160" s="123" t="s">
        <v>835</v>
      </c>
    </row>
    <row r="161" spans="4:9" s="56" customFormat="1" ht="14.1" customHeight="1">
      <c r="D161" s="123" t="s">
        <v>830</v>
      </c>
      <c r="E161" s="124" t="s">
        <v>831</v>
      </c>
      <c r="F161" s="111">
        <v>1</v>
      </c>
      <c r="G161" s="112" t="s">
        <v>823</v>
      </c>
      <c r="H161" s="125" t="s">
        <v>784</v>
      </c>
      <c r="I161" s="123" t="s">
        <v>836</v>
      </c>
    </row>
    <row r="162" spans="4:9" s="56" customFormat="1" ht="14.1" customHeight="1">
      <c r="D162" s="123" t="s">
        <v>830</v>
      </c>
      <c r="E162" s="124" t="s">
        <v>831</v>
      </c>
      <c r="F162" s="111">
        <v>1</v>
      </c>
      <c r="G162" s="112" t="s">
        <v>609</v>
      </c>
      <c r="H162" s="125" t="s">
        <v>785</v>
      </c>
      <c r="I162" s="123" t="s">
        <v>837</v>
      </c>
    </row>
    <row r="163" spans="4:9" ht="14.1" customHeight="1">
      <c r="D163" s="126" t="s">
        <v>841</v>
      </c>
      <c r="E163" s="126" t="s">
        <v>604</v>
      </c>
      <c r="F163" s="127">
        <v>6</v>
      </c>
      <c r="G163" s="128" t="s">
        <v>698</v>
      </c>
      <c r="H163" s="129" t="s">
        <v>784</v>
      </c>
      <c r="I163" s="126" t="s">
        <v>839</v>
      </c>
    </row>
    <row r="164" spans="4:9" ht="14.1" customHeight="1">
      <c r="D164" s="126" t="s">
        <v>841</v>
      </c>
      <c r="E164" s="126" t="s">
        <v>604</v>
      </c>
      <c r="F164" s="127">
        <v>6</v>
      </c>
      <c r="G164" s="128" t="s">
        <v>823</v>
      </c>
      <c r="H164" s="129" t="s">
        <v>784</v>
      </c>
      <c r="I164" s="126" t="s">
        <v>840</v>
      </c>
    </row>
    <row r="165" spans="4:9" ht="14.1" customHeight="1">
      <c r="D165" s="126" t="s">
        <v>841</v>
      </c>
      <c r="E165" s="126" t="s">
        <v>604</v>
      </c>
      <c r="F165" s="127">
        <v>6</v>
      </c>
      <c r="G165" s="129" t="s">
        <v>609</v>
      </c>
      <c r="H165" s="129" t="s">
        <v>785</v>
      </c>
      <c r="I165" s="126" t="s">
        <v>838</v>
      </c>
    </row>
    <row r="166" spans="4:9" ht="14.1" customHeight="1">
      <c r="D166" s="1" t="s">
        <v>758</v>
      </c>
      <c r="E166" s="1" t="s">
        <v>606</v>
      </c>
      <c r="F166" s="2">
        <v>1</v>
      </c>
      <c r="G166" s="4" t="s">
        <v>698</v>
      </c>
      <c r="H166" s="61" t="s">
        <v>784</v>
      </c>
      <c r="I166" s="1" t="s">
        <v>699</v>
      </c>
    </row>
    <row r="167" spans="4:9" ht="14.1" customHeight="1">
      <c r="D167" s="3" t="s">
        <v>26</v>
      </c>
      <c r="E167" s="3" t="s">
        <v>27</v>
      </c>
      <c r="F167" s="2">
        <v>1</v>
      </c>
      <c r="G167" s="4" t="s">
        <v>28</v>
      </c>
      <c r="H167" s="61" t="s">
        <v>784</v>
      </c>
      <c r="I167" s="3" t="s">
        <v>700</v>
      </c>
    </row>
    <row r="168" spans="4:9" ht="14.1" customHeight="1">
      <c r="D168" s="3" t="s">
        <v>721</v>
      </c>
      <c r="E168" s="3" t="s">
        <v>60</v>
      </c>
      <c r="F168" s="2">
        <v>1</v>
      </c>
      <c r="G168" s="4" t="s">
        <v>86</v>
      </c>
      <c r="H168" s="4" t="s">
        <v>86</v>
      </c>
      <c r="I168" s="3" t="s">
        <v>86</v>
      </c>
    </row>
    <row r="169" spans="4:9" ht="15.95" customHeight="1">
      <c r="D169" s="97" t="s">
        <v>790</v>
      </c>
      <c r="E169" s="99" t="s">
        <v>139</v>
      </c>
      <c r="F169" s="99" t="s">
        <v>139</v>
      </c>
      <c r="G169" s="99" t="s">
        <v>139</v>
      </c>
      <c r="H169" s="99" t="s">
        <v>139</v>
      </c>
      <c r="I169" s="100" t="s">
        <v>139</v>
      </c>
    </row>
    <row r="170" spans="4:9" ht="15.95" customHeight="1">
      <c r="D170" s="98" t="s">
        <v>132</v>
      </c>
      <c r="E170" s="98" t="s">
        <v>133</v>
      </c>
      <c r="F170" s="98" t="s">
        <v>136</v>
      </c>
      <c r="G170" s="98" t="s">
        <v>366</v>
      </c>
      <c r="H170" s="98" t="s">
        <v>134</v>
      </c>
      <c r="I170" s="98" t="s">
        <v>135</v>
      </c>
    </row>
    <row r="171" spans="4:9" ht="14.1" customHeight="1">
      <c r="D171" s="1" t="s">
        <v>475</v>
      </c>
      <c r="E171" s="1" t="s">
        <v>438</v>
      </c>
      <c r="F171" s="14">
        <v>4</v>
      </c>
      <c r="G171" s="4" t="s">
        <v>255</v>
      </c>
      <c r="H171" s="61" t="s">
        <v>784</v>
      </c>
      <c r="I171" s="1" t="s">
        <v>439</v>
      </c>
    </row>
    <row r="172" spans="4:9" ht="14.1" customHeight="1">
      <c r="D172" s="1" t="s">
        <v>472</v>
      </c>
      <c r="E172" s="1" t="s">
        <v>432</v>
      </c>
      <c r="F172" s="14">
        <v>20</v>
      </c>
      <c r="G172" s="4" t="s">
        <v>255</v>
      </c>
      <c r="H172" s="61" t="s">
        <v>784</v>
      </c>
      <c r="I172" s="1" t="s">
        <v>469</v>
      </c>
    </row>
    <row r="173" spans="4:9" ht="14.1" customHeight="1">
      <c r="D173" s="1" t="s">
        <v>471</v>
      </c>
      <c r="E173" s="1" t="s">
        <v>433</v>
      </c>
      <c r="F173" s="14">
        <v>12</v>
      </c>
      <c r="G173" s="4" t="s">
        <v>255</v>
      </c>
      <c r="H173" s="61" t="s">
        <v>784</v>
      </c>
      <c r="I173" s="1" t="s">
        <v>323</v>
      </c>
    </row>
    <row r="174" spans="4:9" ht="14.1" customHeight="1">
      <c r="D174" s="1" t="s">
        <v>476</v>
      </c>
      <c r="E174" s="1" t="s">
        <v>440</v>
      </c>
      <c r="F174" s="14">
        <v>4</v>
      </c>
      <c r="G174" s="4" t="s">
        <v>255</v>
      </c>
      <c r="H174" s="61" t="s">
        <v>784</v>
      </c>
      <c r="I174" s="1" t="s">
        <v>308</v>
      </c>
    </row>
    <row r="175" spans="4:9" ht="14.1" customHeight="1">
      <c r="D175" s="1" t="s">
        <v>478</v>
      </c>
      <c r="E175" s="1" t="s">
        <v>435</v>
      </c>
      <c r="F175" s="14">
        <v>12</v>
      </c>
      <c r="G175" s="4" t="s">
        <v>255</v>
      </c>
      <c r="H175" s="61" t="s">
        <v>784</v>
      </c>
      <c r="I175" s="1" t="s">
        <v>434</v>
      </c>
    </row>
    <row r="176" spans="4:9" s="56" customFormat="1" ht="27.95" customHeight="1">
      <c r="D176" s="18" t="s">
        <v>473</v>
      </c>
      <c r="E176" s="19" t="s">
        <v>430</v>
      </c>
      <c r="F176" s="14">
        <v>24</v>
      </c>
      <c r="G176" s="37" t="s">
        <v>255</v>
      </c>
      <c r="H176" s="109" t="s">
        <v>784</v>
      </c>
      <c r="I176" s="18" t="s">
        <v>483</v>
      </c>
    </row>
    <row r="177" spans="4:9" ht="14.1" customHeight="1">
      <c r="D177" s="1" t="s">
        <v>477</v>
      </c>
      <c r="E177" s="1" t="s">
        <v>441</v>
      </c>
      <c r="F177" s="14">
        <v>8</v>
      </c>
      <c r="G177" s="4" t="s">
        <v>255</v>
      </c>
      <c r="H177" s="61" t="s">
        <v>784</v>
      </c>
      <c r="I177" s="1" t="s">
        <v>297</v>
      </c>
    </row>
    <row r="178" spans="4:9" ht="14.1" customHeight="1">
      <c r="D178" s="1" t="s">
        <v>474</v>
      </c>
      <c r="E178" s="1" t="s">
        <v>437</v>
      </c>
      <c r="F178" s="14">
        <v>5</v>
      </c>
      <c r="G178" s="4" t="s">
        <v>80</v>
      </c>
      <c r="H178" s="61" t="s">
        <v>784</v>
      </c>
      <c r="I178" s="1" t="s">
        <v>484</v>
      </c>
    </row>
    <row r="179" spans="4:9" ht="14.1" customHeight="1">
      <c r="D179" s="1" t="s">
        <v>479</v>
      </c>
      <c r="E179" s="1" t="s">
        <v>442</v>
      </c>
      <c r="F179" s="14">
        <v>6</v>
      </c>
      <c r="G179" s="4" t="s">
        <v>31</v>
      </c>
      <c r="H179" s="61" t="s">
        <v>784</v>
      </c>
      <c r="I179" s="1" t="s">
        <v>640</v>
      </c>
    </row>
    <row r="180" spans="4:9" ht="14.1" customHeight="1">
      <c r="D180" s="1" t="s">
        <v>639</v>
      </c>
      <c r="E180" s="1" t="s">
        <v>482</v>
      </c>
      <c r="F180" s="14">
        <v>36</v>
      </c>
      <c r="G180" s="4" t="s">
        <v>31</v>
      </c>
      <c r="H180" s="61" t="s">
        <v>784</v>
      </c>
      <c r="I180" s="1" t="s">
        <v>638</v>
      </c>
    </row>
    <row r="181" spans="4:9" ht="14.1" customHeight="1">
      <c r="D181" s="1" t="s">
        <v>485</v>
      </c>
      <c r="E181" s="1" t="s">
        <v>636</v>
      </c>
      <c r="F181" s="14">
        <v>16</v>
      </c>
      <c r="G181" s="4" t="s">
        <v>31</v>
      </c>
      <c r="H181" s="61" t="s">
        <v>784</v>
      </c>
      <c r="I181" s="1" t="s">
        <v>637</v>
      </c>
    </row>
    <row r="182" spans="4:9" ht="14.1" customHeight="1">
      <c r="D182" s="1" t="s">
        <v>641</v>
      </c>
      <c r="E182" s="1" t="s">
        <v>445</v>
      </c>
      <c r="F182" s="14">
        <v>4</v>
      </c>
      <c r="G182" s="4" t="s">
        <v>4</v>
      </c>
      <c r="H182" s="61" t="s">
        <v>784</v>
      </c>
      <c r="I182" s="1" t="s">
        <v>642</v>
      </c>
    </row>
    <row r="183" spans="4:9" ht="14.1" customHeight="1">
      <c r="D183" s="1" t="s">
        <v>480</v>
      </c>
      <c r="E183" s="1" t="s">
        <v>443</v>
      </c>
      <c r="F183" s="14">
        <v>4</v>
      </c>
      <c r="G183" s="4" t="s">
        <v>4</v>
      </c>
      <c r="H183" s="61" t="s">
        <v>784</v>
      </c>
      <c r="I183" s="1" t="s">
        <v>444</v>
      </c>
    </row>
    <row r="184" spans="4:9" ht="14.1" customHeight="1">
      <c r="D184" s="1" t="s">
        <v>487</v>
      </c>
      <c r="E184" s="1" t="s">
        <v>446</v>
      </c>
      <c r="F184" s="14">
        <v>2</v>
      </c>
      <c r="G184" s="4" t="s">
        <v>514</v>
      </c>
      <c r="H184" s="61" t="s">
        <v>784</v>
      </c>
      <c r="I184" s="1" t="s">
        <v>447</v>
      </c>
    </row>
    <row r="185" spans="4:9" ht="14.1" customHeight="1">
      <c r="D185" s="1" t="s">
        <v>488</v>
      </c>
      <c r="E185" s="1" t="s">
        <v>451</v>
      </c>
      <c r="F185" s="14">
        <v>5</v>
      </c>
      <c r="G185" s="4" t="s">
        <v>38</v>
      </c>
      <c r="H185" s="61" t="s">
        <v>784</v>
      </c>
      <c r="I185" s="1" t="s">
        <v>452</v>
      </c>
    </row>
    <row r="186" spans="4:9" ht="14.1" customHeight="1">
      <c r="D186" s="1" t="s">
        <v>481</v>
      </c>
      <c r="E186" s="1" t="s">
        <v>457</v>
      </c>
      <c r="F186" s="14">
        <v>1</v>
      </c>
      <c r="G186" s="4" t="s">
        <v>38</v>
      </c>
      <c r="H186" s="61" t="s">
        <v>784</v>
      </c>
      <c r="I186" s="1" t="s">
        <v>213</v>
      </c>
    </row>
    <row r="187" spans="4:9" ht="14.1" customHeight="1">
      <c r="D187" s="1" t="s">
        <v>520</v>
      </c>
      <c r="E187" s="1" t="s">
        <v>449</v>
      </c>
      <c r="F187" s="14">
        <v>5</v>
      </c>
      <c r="G187" s="4" t="s">
        <v>40</v>
      </c>
      <c r="H187" s="37" t="s">
        <v>40</v>
      </c>
      <c r="I187" s="1" t="s">
        <v>486</v>
      </c>
    </row>
    <row r="188" spans="4:9" ht="14.1" customHeight="1">
      <c r="D188" s="1" t="s">
        <v>519</v>
      </c>
      <c r="E188" s="1" t="s">
        <v>458</v>
      </c>
      <c r="F188" s="14">
        <v>13</v>
      </c>
      <c r="G188" s="4" t="s">
        <v>494</v>
      </c>
      <c r="H188" s="61" t="s">
        <v>784</v>
      </c>
      <c r="I188" s="1" t="s">
        <v>490</v>
      </c>
    </row>
    <row r="189" spans="4:9" ht="14.1" customHeight="1">
      <c r="D189" s="1" t="s">
        <v>518</v>
      </c>
      <c r="E189" s="1" t="s">
        <v>492</v>
      </c>
      <c r="F189" s="14">
        <v>2</v>
      </c>
      <c r="G189" s="4" t="s">
        <v>494</v>
      </c>
      <c r="H189" s="61" t="s">
        <v>784</v>
      </c>
      <c r="I189" s="1" t="s">
        <v>493</v>
      </c>
    </row>
    <row r="190" spans="4:9" ht="14.1" customHeight="1">
      <c r="D190" s="1" t="s">
        <v>460</v>
      </c>
      <c r="E190" s="1" t="s">
        <v>461</v>
      </c>
      <c r="F190" s="14">
        <v>4</v>
      </c>
      <c r="G190" s="4" t="s">
        <v>117</v>
      </c>
      <c r="H190" s="61" t="s">
        <v>784</v>
      </c>
      <c r="I190" s="1" t="s">
        <v>142</v>
      </c>
    </row>
    <row r="191" spans="4:9" ht="14.1" customHeight="1">
      <c r="D191" s="1" t="s">
        <v>497</v>
      </c>
      <c r="E191" s="1" t="s">
        <v>501</v>
      </c>
      <c r="F191" s="14">
        <v>16</v>
      </c>
      <c r="G191" s="4" t="s">
        <v>28</v>
      </c>
      <c r="H191" s="61" t="s">
        <v>784</v>
      </c>
      <c r="I191" s="1" t="s">
        <v>499</v>
      </c>
    </row>
    <row r="192" spans="4:9" ht="14.1" customHeight="1">
      <c r="D192" s="1" t="s">
        <v>497</v>
      </c>
      <c r="E192" s="1" t="s">
        <v>502</v>
      </c>
      <c r="F192" s="14">
        <v>8</v>
      </c>
      <c r="G192" s="4" t="s">
        <v>28</v>
      </c>
      <c r="H192" s="61" t="s">
        <v>784</v>
      </c>
      <c r="I192" s="1" t="s">
        <v>503</v>
      </c>
    </row>
    <row r="193" spans="3:9" ht="14.1" customHeight="1">
      <c r="D193" s="1" t="s">
        <v>517</v>
      </c>
      <c r="E193" s="1" t="s">
        <v>462</v>
      </c>
      <c r="F193" s="14">
        <v>1</v>
      </c>
      <c r="G193" s="4" t="s">
        <v>28</v>
      </c>
      <c r="H193" s="61" t="s">
        <v>784</v>
      </c>
      <c r="I193" s="1" t="s">
        <v>507</v>
      </c>
    </row>
    <row r="194" spans="3:9" ht="14.1" customHeight="1">
      <c r="D194" s="1" t="s">
        <v>516</v>
      </c>
      <c r="E194" s="1" t="s">
        <v>448</v>
      </c>
      <c r="F194" s="14">
        <v>8</v>
      </c>
      <c r="G194" s="4" t="s">
        <v>28</v>
      </c>
      <c r="H194" s="61" t="s">
        <v>784</v>
      </c>
      <c r="I194" s="1" t="s">
        <v>504</v>
      </c>
    </row>
    <row r="195" spans="3:9" ht="14.1" customHeight="1">
      <c r="D195" s="1" t="s">
        <v>516</v>
      </c>
      <c r="E195" s="1" t="s">
        <v>459</v>
      </c>
      <c r="F195" s="14">
        <v>1</v>
      </c>
      <c r="G195" s="4" t="s">
        <v>28</v>
      </c>
      <c r="H195" s="61" t="s">
        <v>784</v>
      </c>
      <c r="I195" s="1" t="s">
        <v>509</v>
      </c>
    </row>
    <row r="196" spans="3:9" ht="14.1" customHeight="1">
      <c r="D196" s="1" t="s">
        <v>496</v>
      </c>
      <c r="E196" s="1" t="s">
        <v>464</v>
      </c>
      <c r="F196" s="14">
        <v>8</v>
      </c>
      <c r="G196" s="4" t="s">
        <v>28</v>
      </c>
      <c r="H196" s="61" t="s">
        <v>784</v>
      </c>
      <c r="I196" s="1" t="s">
        <v>466</v>
      </c>
    </row>
    <row r="197" spans="3:9" ht="14.1" customHeight="1">
      <c r="D197" s="1" t="s">
        <v>495</v>
      </c>
      <c r="E197" s="1" t="s">
        <v>463</v>
      </c>
      <c r="F197" s="14">
        <v>16</v>
      </c>
      <c r="G197" s="4" t="s">
        <v>28</v>
      </c>
      <c r="H197" s="61" t="s">
        <v>784</v>
      </c>
      <c r="I197" s="1" t="s">
        <v>498</v>
      </c>
    </row>
    <row r="198" spans="3:9" ht="15.95" customHeight="1">
      <c r="D198" s="97" t="s">
        <v>792</v>
      </c>
      <c r="E198" s="99" t="s">
        <v>139</v>
      </c>
      <c r="F198" s="99" t="s">
        <v>139</v>
      </c>
      <c r="G198" s="99" t="s">
        <v>139</v>
      </c>
      <c r="H198" s="99" t="s">
        <v>139</v>
      </c>
      <c r="I198" s="100" t="s">
        <v>139</v>
      </c>
    </row>
    <row r="199" spans="3:9" ht="15.95" customHeight="1">
      <c r="D199" s="98" t="s">
        <v>132</v>
      </c>
      <c r="E199" s="98" t="s">
        <v>133</v>
      </c>
      <c r="F199" s="98" t="s">
        <v>136</v>
      </c>
      <c r="G199" s="98" t="s">
        <v>366</v>
      </c>
      <c r="H199" s="98" t="s">
        <v>134</v>
      </c>
      <c r="I199" s="98" t="s">
        <v>135</v>
      </c>
    </row>
    <row r="200" spans="3:9" ht="14.1" customHeight="1">
      <c r="C200" s="103" t="s">
        <v>139</v>
      </c>
      <c r="D200" s="1" t="s">
        <v>736</v>
      </c>
      <c r="E200" s="1" t="s">
        <v>551</v>
      </c>
      <c r="F200" s="2">
        <v>1</v>
      </c>
      <c r="G200" s="4" t="s">
        <v>795</v>
      </c>
      <c r="H200" s="61" t="s">
        <v>784</v>
      </c>
      <c r="I200" s="1" t="s">
        <v>708</v>
      </c>
    </row>
    <row r="201" spans="3:9" ht="14.1" customHeight="1">
      <c r="C201" s="103" t="s">
        <v>139</v>
      </c>
      <c r="D201" s="1" t="s">
        <v>742</v>
      </c>
      <c r="E201" s="1" t="s">
        <v>732</v>
      </c>
      <c r="F201" s="2">
        <v>2</v>
      </c>
      <c r="G201" s="4" t="s">
        <v>255</v>
      </c>
      <c r="H201" s="61" t="s">
        <v>784</v>
      </c>
      <c r="I201" s="1" t="s">
        <v>793</v>
      </c>
    </row>
    <row r="202" spans="3:9" ht="14.1" customHeight="1">
      <c r="C202" s="103" t="s">
        <v>139</v>
      </c>
      <c r="D202" s="1" t="s">
        <v>804</v>
      </c>
      <c r="E202" s="1" t="s">
        <v>735</v>
      </c>
      <c r="F202" s="2">
        <v>1</v>
      </c>
      <c r="G202" s="4" t="s">
        <v>255</v>
      </c>
      <c r="H202" s="61" t="s">
        <v>784</v>
      </c>
      <c r="I202" s="1" t="s">
        <v>759</v>
      </c>
    </row>
    <row r="203" spans="3:9" ht="14.1" customHeight="1">
      <c r="C203" s="103" t="s">
        <v>139</v>
      </c>
      <c r="D203" s="1" t="s">
        <v>743</v>
      </c>
      <c r="E203" s="1" t="s">
        <v>733</v>
      </c>
      <c r="F203" s="2">
        <v>2</v>
      </c>
      <c r="G203" s="4" t="s">
        <v>255</v>
      </c>
      <c r="H203" s="61" t="s">
        <v>784</v>
      </c>
      <c r="I203" s="1" t="s">
        <v>794</v>
      </c>
    </row>
    <row r="204" spans="3:9" ht="14.1" customHeight="1">
      <c r="C204" s="103" t="s">
        <v>139</v>
      </c>
      <c r="D204" s="1" t="s">
        <v>704</v>
      </c>
      <c r="E204" s="1" t="s">
        <v>714</v>
      </c>
      <c r="F204" s="2">
        <v>6</v>
      </c>
      <c r="G204" s="4" t="s">
        <v>2</v>
      </c>
      <c r="H204" s="61" t="s">
        <v>784</v>
      </c>
      <c r="I204" s="1" t="s">
        <v>705</v>
      </c>
    </row>
    <row r="205" spans="3:9" ht="14.1" customHeight="1">
      <c r="C205" s="103" t="s">
        <v>139</v>
      </c>
      <c r="D205" s="1" t="s">
        <v>14</v>
      </c>
      <c r="E205" s="1" t="s">
        <v>715</v>
      </c>
      <c r="F205" s="2">
        <v>4</v>
      </c>
      <c r="G205" s="4" t="s">
        <v>4</v>
      </c>
      <c r="H205" s="61" t="s">
        <v>784</v>
      </c>
      <c r="I205" s="1" t="s">
        <v>710</v>
      </c>
    </row>
    <row r="206" spans="3:9" ht="14.1" customHeight="1">
      <c r="C206" s="103" t="s">
        <v>139</v>
      </c>
      <c r="D206" s="1" t="s">
        <v>236</v>
      </c>
      <c r="E206" s="1" t="s">
        <v>723</v>
      </c>
      <c r="F206" s="2">
        <v>8</v>
      </c>
      <c r="G206" s="4" t="s">
        <v>4</v>
      </c>
      <c r="H206" s="61" t="s">
        <v>784</v>
      </c>
      <c r="I206" s="1" t="s">
        <v>724</v>
      </c>
    </row>
    <row r="207" spans="3:9" ht="14.1" customHeight="1">
      <c r="C207" s="103" t="s">
        <v>803</v>
      </c>
      <c r="D207" s="1" t="s">
        <v>177</v>
      </c>
      <c r="E207" s="1" t="s">
        <v>30</v>
      </c>
      <c r="F207" s="2">
        <v>1</v>
      </c>
      <c r="G207" s="4" t="s">
        <v>18</v>
      </c>
      <c r="H207" s="61" t="s">
        <v>784</v>
      </c>
      <c r="I207" s="1" t="s">
        <v>19</v>
      </c>
    </row>
    <row r="208" spans="3:9" ht="14.1" customHeight="1">
      <c r="C208" s="103" t="s">
        <v>139</v>
      </c>
      <c r="D208" s="1" t="s">
        <v>711</v>
      </c>
      <c r="E208" s="1" t="s">
        <v>390</v>
      </c>
      <c r="F208" s="2">
        <v>1</v>
      </c>
      <c r="G208" s="4" t="s">
        <v>55</v>
      </c>
      <c r="H208" s="61" t="s">
        <v>784</v>
      </c>
      <c r="I208" s="1" t="s">
        <v>712</v>
      </c>
    </row>
    <row r="209" spans="3:9" ht="14.1" customHeight="1">
      <c r="C209" s="103" t="s">
        <v>139</v>
      </c>
      <c r="D209" s="1" t="s">
        <v>711</v>
      </c>
      <c r="E209" s="1" t="s">
        <v>394</v>
      </c>
      <c r="F209" s="2">
        <v>1</v>
      </c>
      <c r="G209" s="4" t="s">
        <v>55</v>
      </c>
      <c r="H209" s="61" t="s">
        <v>784</v>
      </c>
      <c r="I209" s="1" t="s">
        <v>713</v>
      </c>
    </row>
    <row r="210" spans="3:9" ht="14.1" customHeight="1">
      <c r="C210" s="103" t="s">
        <v>139</v>
      </c>
      <c r="D210" s="1" t="s">
        <v>711</v>
      </c>
      <c r="E210" s="1" t="s">
        <v>716</v>
      </c>
      <c r="F210" s="2">
        <v>1</v>
      </c>
      <c r="G210" s="4" t="s">
        <v>55</v>
      </c>
      <c r="H210" s="61" t="s">
        <v>784</v>
      </c>
      <c r="I210" s="1" t="s">
        <v>717</v>
      </c>
    </row>
    <row r="211" spans="3:9" ht="14.1" customHeight="1">
      <c r="C211" s="103" t="s">
        <v>139</v>
      </c>
      <c r="D211" s="1" t="s">
        <v>728</v>
      </c>
      <c r="E211" s="1" t="s">
        <v>725</v>
      </c>
      <c r="F211" s="2">
        <v>1</v>
      </c>
      <c r="G211" s="4" t="s">
        <v>726</v>
      </c>
      <c r="H211" s="61" t="s">
        <v>784</v>
      </c>
      <c r="I211" s="1" t="s">
        <v>727</v>
      </c>
    </row>
    <row r="212" spans="3:9" ht="14.1" customHeight="1">
      <c r="C212" s="103" t="s">
        <v>139</v>
      </c>
      <c r="D212" s="1" t="s">
        <v>720</v>
      </c>
      <c r="E212" s="1" t="s">
        <v>116</v>
      </c>
      <c r="F212" s="2">
        <v>2</v>
      </c>
      <c r="G212" s="4" t="s">
        <v>117</v>
      </c>
      <c r="H212" s="61" t="s">
        <v>784</v>
      </c>
      <c r="I212" s="1" t="s">
        <v>719</v>
      </c>
    </row>
    <row r="213" spans="3:9" ht="14.1" customHeight="1">
      <c r="C213" s="103" t="s">
        <v>139</v>
      </c>
      <c r="D213" s="1" t="s">
        <v>741</v>
      </c>
      <c r="E213" s="1" t="s">
        <v>738</v>
      </c>
      <c r="F213" s="2">
        <v>1</v>
      </c>
      <c r="G213" s="4" t="s">
        <v>28</v>
      </c>
      <c r="H213" s="61" t="s">
        <v>784</v>
      </c>
      <c r="I213" s="1" t="s">
        <v>737</v>
      </c>
    </row>
    <row r="214" spans="3:9" ht="14.1" customHeight="1">
      <c r="C214" s="103" t="s">
        <v>139</v>
      </c>
      <c r="D214" s="1" t="s">
        <v>740</v>
      </c>
      <c r="E214" s="1" t="s">
        <v>739</v>
      </c>
      <c r="F214" s="2">
        <v>1</v>
      </c>
      <c r="G214" s="4" t="s">
        <v>28</v>
      </c>
      <c r="H214" s="61" t="s">
        <v>784</v>
      </c>
      <c r="I214" s="1" t="s">
        <v>737</v>
      </c>
    </row>
    <row r="215" spans="3:9" ht="15.95" customHeight="1">
      <c r="D215" s="97" t="s">
        <v>807</v>
      </c>
      <c r="E215" s="99" t="s">
        <v>139</v>
      </c>
      <c r="F215" s="99" t="s">
        <v>139</v>
      </c>
      <c r="G215" s="99" t="s">
        <v>139</v>
      </c>
      <c r="H215" s="99" t="s">
        <v>139</v>
      </c>
      <c r="I215" s="100" t="s">
        <v>139</v>
      </c>
    </row>
    <row r="216" spans="3:9" ht="15.95" customHeight="1">
      <c r="D216" s="98" t="s">
        <v>132</v>
      </c>
      <c r="E216" s="98" t="s">
        <v>133</v>
      </c>
      <c r="F216" s="98" t="s">
        <v>136</v>
      </c>
      <c r="G216" s="98" t="s">
        <v>366</v>
      </c>
      <c r="H216" s="98" t="s">
        <v>134</v>
      </c>
      <c r="I216" s="98" t="s">
        <v>135</v>
      </c>
    </row>
    <row r="217" spans="3:9" ht="14.1" customHeight="1">
      <c r="D217" s="132" t="s">
        <v>572</v>
      </c>
      <c r="E217" s="132" t="s">
        <v>551</v>
      </c>
      <c r="F217" s="133">
        <v>21</v>
      </c>
      <c r="G217" s="134" t="s">
        <v>796</v>
      </c>
      <c r="H217" s="134" t="s">
        <v>796</v>
      </c>
      <c r="I217" s="134" t="s">
        <v>799</v>
      </c>
    </row>
    <row r="218" spans="3:9" ht="14.1" customHeight="1">
      <c r="D218" s="132" t="s">
        <v>572</v>
      </c>
      <c r="E218" s="132" t="s">
        <v>551</v>
      </c>
      <c r="F218" s="133">
        <v>21</v>
      </c>
      <c r="G218" s="134" t="s">
        <v>796</v>
      </c>
      <c r="H218" s="135" t="s">
        <v>798</v>
      </c>
      <c r="I218" s="134" t="s">
        <v>799</v>
      </c>
    </row>
    <row r="219" spans="3:9" ht="14.1" customHeight="1">
      <c r="D219" s="114" t="s">
        <v>572</v>
      </c>
      <c r="E219" s="114" t="s">
        <v>551</v>
      </c>
      <c r="F219" s="115">
        <v>1</v>
      </c>
      <c r="G219" s="116" t="s">
        <v>796</v>
      </c>
      <c r="H219" s="116" t="s">
        <v>796</v>
      </c>
      <c r="I219" s="116" t="s">
        <v>805</v>
      </c>
    </row>
    <row r="220" spans="3:9" ht="14.1" customHeight="1">
      <c r="D220" s="114" t="s">
        <v>572</v>
      </c>
      <c r="E220" s="114" t="s">
        <v>551</v>
      </c>
      <c r="F220" s="115">
        <v>1</v>
      </c>
      <c r="G220" s="116" t="s">
        <v>796</v>
      </c>
      <c r="H220" s="117" t="s">
        <v>798</v>
      </c>
      <c r="I220" s="116" t="s">
        <v>805</v>
      </c>
    </row>
    <row r="221" spans="3:9" ht="14.1" customHeight="1">
      <c r="D221" s="110" t="s">
        <v>802</v>
      </c>
      <c r="E221" s="110" t="s">
        <v>551</v>
      </c>
      <c r="F221" s="111">
        <v>22</v>
      </c>
      <c r="G221" s="112" t="s">
        <v>796</v>
      </c>
      <c r="H221" s="112" t="s">
        <v>796</v>
      </c>
      <c r="I221" s="112" t="s">
        <v>800</v>
      </c>
    </row>
    <row r="222" spans="3:9" ht="14.1" customHeight="1">
      <c r="D222" s="110" t="s">
        <v>802</v>
      </c>
      <c r="E222" s="110" t="s">
        <v>551</v>
      </c>
      <c r="F222" s="111">
        <v>22</v>
      </c>
      <c r="G222" s="112" t="s">
        <v>796</v>
      </c>
      <c r="H222" s="113" t="s">
        <v>798</v>
      </c>
      <c r="I222" s="112" t="s">
        <v>800</v>
      </c>
    </row>
    <row r="223" spans="3:9" ht="14.1" customHeight="1">
      <c r="D223" s="27" t="s">
        <v>855</v>
      </c>
      <c r="E223" s="27" t="s">
        <v>551</v>
      </c>
      <c r="F223" s="141">
        <v>16</v>
      </c>
      <c r="G223" s="109" t="s">
        <v>856</v>
      </c>
      <c r="H223" s="109" t="s">
        <v>784</v>
      </c>
      <c r="I223" s="109" t="s">
        <v>857</v>
      </c>
    </row>
    <row r="224" spans="3:9" ht="14.1" customHeight="1">
      <c r="D224" s="1" t="s">
        <v>842</v>
      </c>
      <c r="E224" s="1" t="s">
        <v>551</v>
      </c>
      <c r="F224" s="14">
        <v>1</v>
      </c>
      <c r="G224" s="37" t="s">
        <v>844</v>
      </c>
      <c r="H224" s="37" t="s">
        <v>784</v>
      </c>
      <c r="I224" s="37" t="s">
        <v>843</v>
      </c>
    </row>
    <row r="225" spans="4:9" ht="14.1" customHeight="1">
      <c r="D225" s="1" t="s">
        <v>576</v>
      </c>
      <c r="E225" s="1" t="s">
        <v>551</v>
      </c>
      <c r="F225" s="14">
        <v>1</v>
      </c>
      <c r="G225" s="37" t="s">
        <v>749</v>
      </c>
      <c r="H225" s="37" t="s">
        <v>784</v>
      </c>
      <c r="I225" s="37" t="s">
        <v>845</v>
      </c>
    </row>
    <row r="226" spans="4:9" ht="14.1" customHeight="1">
      <c r="D226" s="118" t="s">
        <v>849</v>
      </c>
      <c r="E226" s="118" t="s">
        <v>551</v>
      </c>
      <c r="F226" s="130">
        <v>1</v>
      </c>
      <c r="G226" s="131" t="s">
        <v>847</v>
      </c>
      <c r="H226" s="130" t="s">
        <v>784</v>
      </c>
      <c r="I226" s="131" t="s">
        <v>846</v>
      </c>
    </row>
    <row r="227" spans="4:9" ht="14.1" customHeight="1">
      <c r="D227" s="118" t="s">
        <v>848</v>
      </c>
      <c r="E227" s="118" t="s">
        <v>551</v>
      </c>
      <c r="F227" s="130">
        <v>1</v>
      </c>
      <c r="G227" s="131" t="s">
        <v>847</v>
      </c>
      <c r="H227" s="130" t="s">
        <v>784</v>
      </c>
      <c r="I227" s="131" t="s">
        <v>853</v>
      </c>
    </row>
    <row r="228" spans="4:9" ht="14.1" customHeight="1">
      <c r="D228" s="118" t="s">
        <v>850</v>
      </c>
      <c r="E228" s="118" t="s">
        <v>551</v>
      </c>
      <c r="F228" s="130">
        <v>1</v>
      </c>
      <c r="G228" s="131" t="s">
        <v>847</v>
      </c>
      <c r="H228" s="130" t="s">
        <v>784</v>
      </c>
      <c r="I228" s="131" t="s">
        <v>852</v>
      </c>
    </row>
    <row r="229" spans="4:9" ht="14.1" customHeight="1">
      <c r="D229" s="118" t="s">
        <v>851</v>
      </c>
      <c r="E229" s="118" t="s">
        <v>551</v>
      </c>
      <c r="F229" s="130">
        <v>1</v>
      </c>
      <c r="G229" s="131" t="s">
        <v>847</v>
      </c>
      <c r="H229" s="130" t="s">
        <v>784</v>
      </c>
      <c r="I229" s="131" t="s">
        <v>854</v>
      </c>
    </row>
  </sheetData>
  <mergeCells count="1">
    <mergeCell ref="D2:I2"/>
  </mergeCells>
  <hyperlinks>
    <hyperlink ref="H136" r:id="rId1"/>
    <hyperlink ref="H137" r:id="rId2"/>
    <hyperlink ref="H138" r:id="rId3"/>
    <hyperlink ref="H218" r:id="rId4"/>
    <hyperlink ref="H222" r:id="rId5"/>
    <hyperlink ref="H220" r:id="rId6"/>
    <hyperlink ref="H139" r:id="rId7"/>
    <hyperlink ref="H141" r:id="rId8"/>
    <hyperlink ref="H140" r:id="rId9"/>
    <hyperlink ref="H144" r:id="rId10"/>
    <hyperlink ref="H143" r:id="rId11"/>
  </hyperlinks>
  <pageMargins left="0.25" right="0.25" top="0.75" bottom="0.75" header="0.3" footer="0.3"/>
  <pageSetup scale="50"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2"/>
  <sheetViews>
    <sheetView workbookViewId="0">
      <selection activeCell="H34" sqref="C3:H34"/>
    </sheetView>
  </sheetViews>
  <sheetFormatPr defaultRowHeight="15"/>
  <cols>
    <col min="1" max="1" width="3.7109375" customWidth="1"/>
    <col min="2" max="2" width="11.7109375" customWidth="1"/>
    <col min="3" max="3" width="24.5703125" customWidth="1"/>
    <col min="4" max="4" width="85.28515625" customWidth="1"/>
    <col min="5" max="5" width="14.7109375" style="40" customWidth="1"/>
    <col min="6" max="6" width="19.28515625" customWidth="1"/>
    <col min="7" max="7" width="16.7109375" style="40" customWidth="1"/>
    <col min="8" max="8" width="24" customWidth="1"/>
    <col min="9" max="10" width="11" style="40" customWidth="1"/>
    <col min="11" max="11" width="13.42578125" style="40" customWidth="1"/>
    <col min="12" max="12" width="10.28515625" style="40" customWidth="1"/>
  </cols>
  <sheetData>
    <row r="2" spans="2:12" ht="30" customHeight="1">
      <c r="B2" s="10" t="s">
        <v>591</v>
      </c>
      <c r="C2" s="10" t="s">
        <v>132</v>
      </c>
      <c r="D2" s="10" t="s">
        <v>133</v>
      </c>
      <c r="E2" s="10" t="s">
        <v>136</v>
      </c>
      <c r="F2" s="10" t="s">
        <v>366</v>
      </c>
      <c r="G2" s="10" t="s">
        <v>134</v>
      </c>
      <c r="H2" s="10" t="s">
        <v>135</v>
      </c>
      <c r="I2" s="10" t="s">
        <v>677</v>
      </c>
      <c r="J2" s="10" t="s">
        <v>688</v>
      </c>
      <c r="K2" s="13" t="s">
        <v>137</v>
      </c>
      <c r="L2" s="13" t="s">
        <v>138</v>
      </c>
    </row>
    <row r="3" spans="2:12">
      <c r="B3" s="68">
        <v>1</v>
      </c>
      <c r="C3" s="1" t="s">
        <v>475</v>
      </c>
      <c r="D3" s="1" t="s">
        <v>438</v>
      </c>
      <c r="E3" s="14">
        <v>4</v>
      </c>
      <c r="F3" s="4" t="s">
        <v>255</v>
      </c>
      <c r="G3" s="37" t="s">
        <v>148</v>
      </c>
      <c r="H3" s="1" t="s">
        <v>439</v>
      </c>
      <c r="I3" s="80">
        <v>0.02</v>
      </c>
      <c r="J3" s="80">
        <f t="shared" ref="J3:J34" si="0">I3*E3</f>
        <v>0.08</v>
      </c>
      <c r="K3" s="15" t="s">
        <v>431</v>
      </c>
      <c r="L3" s="39">
        <f t="shared" ref="L3:L34" si="1">K3*E3</f>
        <v>2.9159999999999998E-2</v>
      </c>
    </row>
    <row r="4" spans="2:12">
      <c r="B4" s="68">
        <v>2</v>
      </c>
      <c r="C4" s="1" t="s">
        <v>472</v>
      </c>
      <c r="D4" s="1" t="s">
        <v>432</v>
      </c>
      <c r="E4" s="14">
        <v>20</v>
      </c>
      <c r="F4" s="4" t="s">
        <v>24</v>
      </c>
      <c r="G4" s="37" t="s">
        <v>148</v>
      </c>
      <c r="H4" s="1" t="s">
        <v>469</v>
      </c>
      <c r="I4" s="80">
        <v>0.02</v>
      </c>
      <c r="J4" s="80">
        <f t="shared" si="0"/>
        <v>0.4</v>
      </c>
      <c r="K4" s="15" t="s">
        <v>470</v>
      </c>
      <c r="L4" s="39">
        <f t="shared" si="1"/>
        <v>0.6</v>
      </c>
    </row>
    <row r="5" spans="2:12">
      <c r="B5" s="68">
        <v>3</v>
      </c>
      <c r="C5" s="1" t="s">
        <v>471</v>
      </c>
      <c r="D5" s="1" t="s">
        <v>433</v>
      </c>
      <c r="E5" s="14">
        <v>12</v>
      </c>
      <c r="F5" s="4" t="s">
        <v>255</v>
      </c>
      <c r="G5" s="37" t="s">
        <v>148</v>
      </c>
      <c r="H5" s="1" t="s">
        <v>323</v>
      </c>
      <c r="I5" s="80">
        <v>0.02</v>
      </c>
      <c r="J5" s="80">
        <f t="shared" si="0"/>
        <v>0.24</v>
      </c>
      <c r="K5" s="15" t="s">
        <v>431</v>
      </c>
      <c r="L5" s="39">
        <f t="shared" si="1"/>
        <v>8.7480000000000002E-2</v>
      </c>
    </row>
    <row r="6" spans="2:12">
      <c r="B6" s="68">
        <v>4</v>
      </c>
      <c r="C6" s="1" t="s">
        <v>476</v>
      </c>
      <c r="D6" s="1" t="s">
        <v>440</v>
      </c>
      <c r="E6" s="14">
        <v>4</v>
      </c>
      <c r="F6" s="4" t="s">
        <v>255</v>
      </c>
      <c r="G6" s="37" t="s">
        <v>148</v>
      </c>
      <c r="H6" s="1" t="s">
        <v>308</v>
      </c>
      <c r="I6" s="80">
        <v>0.02</v>
      </c>
      <c r="J6" s="80">
        <f t="shared" si="0"/>
        <v>0.08</v>
      </c>
      <c r="K6" s="15" t="s">
        <v>431</v>
      </c>
      <c r="L6" s="39">
        <f t="shared" si="1"/>
        <v>2.9159999999999998E-2</v>
      </c>
    </row>
    <row r="7" spans="2:12">
      <c r="B7" s="68">
        <v>5</v>
      </c>
      <c r="C7" s="1" t="s">
        <v>478</v>
      </c>
      <c r="D7" s="1" t="s">
        <v>435</v>
      </c>
      <c r="E7" s="14">
        <v>12</v>
      </c>
      <c r="F7" s="4" t="s">
        <v>255</v>
      </c>
      <c r="G7" s="37" t="s">
        <v>148</v>
      </c>
      <c r="H7" s="1" t="s">
        <v>434</v>
      </c>
      <c r="I7" s="80">
        <v>0.02</v>
      </c>
      <c r="J7" s="80">
        <f t="shared" si="0"/>
        <v>0.24</v>
      </c>
      <c r="K7" s="15" t="s">
        <v>436</v>
      </c>
      <c r="L7" s="39">
        <f t="shared" si="1"/>
        <v>5.5200000000000005</v>
      </c>
    </row>
    <row r="8" spans="2:12">
      <c r="B8" s="68">
        <v>6</v>
      </c>
      <c r="C8" s="1" t="s">
        <v>473</v>
      </c>
      <c r="D8" s="1" t="s">
        <v>430</v>
      </c>
      <c r="E8" s="14">
        <v>24</v>
      </c>
      <c r="F8" s="4" t="s">
        <v>255</v>
      </c>
      <c r="G8" s="37" t="s">
        <v>148</v>
      </c>
      <c r="H8" s="1" t="s">
        <v>483</v>
      </c>
      <c r="I8" s="80">
        <v>0.02</v>
      </c>
      <c r="J8" s="80">
        <f t="shared" si="0"/>
        <v>0.48</v>
      </c>
      <c r="K8" s="15" t="s">
        <v>431</v>
      </c>
      <c r="L8" s="39">
        <f t="shared" si="1"/>
        <v>0.17496</v>
      </c>
    </row>
    <row r="9" spans="2:12">
      <c r="B9" s="68">
        <v>7</v>
      </c>
      <c r="C9" s="1" t="s">
        <v>477</v>
      </c>
      <c r="D9" s="1" t="s">
        <v>441</v>
      </c>
      <c r="E9" s="14">
        <v>8</v>
      </c>
      <c r="F9" s="4" t="s">
        <v>255</v>
      </c>
      <c r="G9" s="37" t="s">
        <v>148</v>
      </c>
      <c r="H9" s="1" t="s">
        <v>297</v>
      </c>
      <c r="I9" s="80">
        <v>0.02</v>
      </c>
      <c r="J9" s="80">
        <f t="shared" si="0"/>
        <v>0.16</v>
      </c>
      <c r="K9" s="15" t="s">
        <v>431</v>
      </c>
      <c r="L9" s="39">
        <f t="shared" si="1"/>
        <v>5.8319999999999997E-2</v>
      </c>
    </row>
    <row r="10" spans="2:12">
      <c r="B10" s="68">
        <v>8</v>
      </c>
      <c r="C10" s="1" t="s">
        <v>474</v>
      </c>
      <c r="D10" s="1" t="s">
        <v>437</v>
      </c>
      <c r="E10" s="14">
        <v>5</v>
      </c>
      <c r="F10" s="4" t="s">
        <v>80</v>
      </c>
      <c r="G10" s="37" t="s">
        <v>121</v>
      </c>
      <c r="H10" s="1" t="s">
        <v>484</v>
      </c>
      <c r="I10" s="80">
        <v>0.02</v>
      </c>
      <c r="J10" s="80">
        <f t="shared" si="0"/>
        <v>0.1</v>
      </c>
      <c r="K10" s="15" t="s">
        <v>431</v>
      </c>
      <c r="L10" s="39">
        <f t="shared" si="1"/>
        <v>3.6449999999999996E-2</v>
      </c>
    </row>
    <row r="11" spans="2:12">
      <c r="B11" s="68">
        <v>9</v>
      </c>
      <c r="C11" s="1" t="s">
        <v>479</v>
      </c>
      <c r="D11" s="1" t="s">
        <v>442</v>
      </c>
      <c r="E11" s="14">
        <v>6</v>
      </c>
      <c r="F11" s="4" t="s">
        <v>31</v>
      </c>
      <c r="G11" s="37" t="s">
        <v>148</v>
      </c>
      <c r="H11" s="1" t="s">
        <v>640</v>
      </c>
      <c r="I11" s="80">
        <v>0.12</v>
      </c>
      <c r="J11" s="80">
        <f t="shared" si="0"/>
        <v>0.72</v>
      </c>
      <c r="K11" s="15">
        <v>0.04</v>
      </c>
      <c r="L11" s="39">
        <f t="shared" si="1"/>
        <v>0.24</v>
      </c>
    </row>
    <row r="12" spans="2:12">
      <c r="B12" s="68">
        <v>10</v>
      </c>
      <c r="C12" s="1" t="s">
        <v>639</v>
      </c>
      <c r="D12" s="1" t="s">
        <v>482</v>
      </c>
      <c r="E12" s="14">
        <v>36</v>
      </c>
      <c r="F12" s="4" t="s">
        <v>31</v>
      </c>
      <c r="G12" s="37" t="s">
        <v>148</v>
      </c>
      <c r="H12" s="1" t="s">
        <v>638</v>
      </c>
      <c r="I12" s="80">
        <v>0.12</v>
      </c>
      <c r="J12" s="80">
        <f t="shared" si="0"/>
        <v>4.32</v>
      </c>
      <c r="K12" s="15">
        <v>6.8000000000000005E-2</v>
      </c>
      <c r="L12" s="39">
        <f t="shared" si="1"/>
        <v>2.4480000000000004</v>
      </c>
    </row>
    <row r="13" spans="2:12">
      <c r="B13" s="68">
        <v>11</v>
      </c>
      <c r="C13" s="1" t="s">
        <v>485</v>
      </c>
      <c r="D13" s="1" t="s">
        <v>636</v>
      </c>
      <c r="E13" s="14">
        <v>16</v>
      </c>
      <c r="F13" s="4" t="s">
        <v>31</v>
      </c>
      <c r="G13" s="37" t="s">
        <v>148</v>
      </c>
      <c r="H13" s="1" t="s">
        <v>637</v>
      </c>
      <c r="I13" s="80">
        <v>0.12</v>
      </c>
      <c r="J13" s="80">
        <f t="shared" si="0"/>
        <v>1.92</v>
      </c>
      <c r="K13" s="15">
        <v>3.3000000000000002E-2</v>
      </c>
      <c r="L13" s="39">
        <f t="shared" si="1"/>
        <v>0.52800000000000002</v>
      </c>
    </row>
    <row r="14" spans="2:12">
      <c r="B14" s="68">
        <v>12</v>
      </c>
      <c r="C14" s="1" t="s">
        <v>641</v>
      </c>
      <c r="D14" s="1" t="s">
        <v>445</v>
      </c>
      <c r="E14" s="14">
        <v>4</v>
      </c>
      <c r="F14" s="4" t="s">
        <v>4</v>
      </c>
      <c r="G14" s="37" t="s">
        <v>148</v>
      </c>
      <c r="H14" s="1" t="s">
        <v>642</v>
      </c>
      <c r="I14" s="80">
        <v>0.4</v>
      </c>
      <c r="J14" s="80">
        <f t="shared" si="0"/>
        <v>1.6</v>
      </c>
      <c r="K14" s="15">
        <v>0.21</v>
      </c>
      <c r="L14" s="39">
        <f t="shared" si="1"/>
        <v>0.84</v>
      </c>
    </row>
    <row r="15" spans="2:12">
      <c r="B15" s="68">
        <v>13</v>
      </c>
      <c r="C15" s="1" t="s">
        <v>480</v>
      </c>
      <c r="D15" s="1" t="s">
        <v>443</v>
      </c>
      <c r="E15" s="14">
        <v>4</v>
      </c>
      <c r="F15" s="4" t="s">
        <v>4</v>
      </c>
      <c r="G15" s="37" t="s">
        <v>148</v>
      </c>
      <c r="H15" s="1" t="s">
        <v>444</v>
      </c>
      <c r="I15" s="80">
        <v>0.15</v>
      </c>
      <c r="J15" s="80">
        <f t="shared" si="0"/>
        <v>0.6</v>
      </c>
      <c r="K15" s="15" t="s">
        <v>25</v>
      </c>
      <c r="L15" s="39">
        <f t="shared" si="1"/>
        <v>0.4</v>
      </c>
    </row>
    <row r="16" spans="2:12">
      <c r="B16" s="68">
        <v>14</v>
      </c>
      <c r="C16" s="1" t="s">
        <v>487</v>
      </c>
      <c r="D16" s="1" t="s">
        <v>446</v>
      </c>
      <c r="E16" s="14">
        <v>2</v>
      </c>
      <c r="F16" s="4" t="s">
        <v>514</v>
      </c>
      <c r="G16" s="37" t="s">
        <v>148</v>
      </c>
      <c r="H16" s="1" t="s">
        <v>447</v>
      </c>
      <c r="I16" s="80">
        <v>0.1</v>
      </c>
      <c r="J16" s="80">
        <f t="shared" si="0"/>
        <v>0.2</v>
      </c>
      <c r="K16" s="15" t="s">
        <v>13</v>
      </c>
      <c r="L16" s="39">
        <f t="shared" si="1"/>
        <v>0.3</v>
      </c>
    </row>
    <row r="17" spans="2:12">
      <c r="B17" s="68">
        <v>15</v>
      </c>
      <c r="C17" s="1" t="s">
        <v>488</v>
      </c>
      <c r="D17" s="1" t="s">
        <v>451</v>
      </c>
      <c r="E17" s="14">
        <v>5</v>
      </c>
      <c r="F17" s="4" t="s">
        <v>38</v>
      </c>
      <c r="G17" s="37" t="s">
        <v>148</v>
      </c>
      <c r="H17" s="1" t="s">
        <v>452</v>
      </c>
      <c r="I17" s="80">
        <v>0.68</v>
      </c>
      <c r="J17" s="80">
        <f t="shared" si="0"/>
        <v>3.4000000000000004</v>
      </c>
      <c r="K17" s="15" t="s">
        <v>54</v>
      </c>
      <c r="L17" s="39">
        <f t="shared" si="1"/>
        <v>0.85000000000000009</v>
      </c>
    </row>
    <row r="18" spans="2:12">
      <c r="B18" s="68">
        <v>16</v>
      </c>
      <c r="C18" s="1" t="s">
        <v>481</v>
      </c>
      <c r="D18" s="1" t="s">
        <v>457</v>
      </c>
      <c r="E18" s="14">
        <v>1</v>
      </c>
      <c r="F18" s="4" t="s">
        <v>38</v>
      </c>
      <c r="G18" s="37" t="s">
        <v>148</v>
      </c>
      <c r="H18" s="1" t="s">
        <v>213</v>
      </c>
      <c r="I18" s="80">
        <v>0</v>
      </c>
      <c r="J18" s="80">
        <f t="shared" si="0"/>
        <v>0</v>
      </c>
      <c r="K18" s="15" t="s">
        <v>13</v>
      </c>
      <c r="L18" s="39">
        <f t="shared" si="1"/>
        <v>0.15</v>
      </c>
    </row>
    <row r="19" spans="2:12">
      <c r="B19" s="68">
        <v>17</v>
      </c>
      <c r="C19" s="1" t="s">
        <v>522</v>
      </c>
      <c r="D19" s="1" t="s">
        <v>454</v>
      </c>
      <c r="E19" s="14">
        <v>4</v>
      </c>
      <c r="F19" s="4" t="s">
        <v>513</v>
      </c>
      <c r="G19" s="37" t="s">
        <v>186</v>
      </c>
      <c r="H19" s="1" t="s">
        <v>453</v>
      </c>
      <c r="I19" s="80">
        <v>0</v>
      </c>
      <c r="J19" s="80">
        <f t="shared" si="0"/>
        <v>0</v>
      </c>
      <c r="K19" s="15" t="s">
        <v>455</v>
      </c>
      <c r="L19" s="39">
        <f t="shared" si="1"/>
        <v>40</v>
      </c>
    </row>
    <row r="20" spans="2:12">
      <c r="B20" s="68">
        <v>18</v>
      </c>
      <c r="C20" s="1" t="s">
        <v>521</v>
      </c>
      <c r="D20" s="1" t="s">
        <v>456</v>
      </c>
      <c r="E20" s="14">
        <v>4</v>
      </c>
      <c r="F20" s="4" t="s">
        <v>200</v>
      </c>
      <c r="G20" s="37" t="s">
        <v>201</v>
      </c>
      <c r="H20" s="1" t="s">
        <v>204</v>
      </c>
      <c r="I20" s="80">
        <v>0</v>
      </c>
      <c r="J20" s="80">
        <f t="shared" si="0"/>
        <v>0</v>
      </c>
      <c r="K20" s="15" t="s">
        <v>515</v>
      </c>
      <c r="L20" s="39">
        <f t="shared" si="1"/>
        <v>13</v>
      </c>
    </row>
    <row r="21" spans="2:12">
      <c r="B21" s="68">
        <v>19</v>
      </c>
      <c r="C21" s="1" t="s">
        <v>520</v>
      </c>
      <c r="D21" s="1" t="s">
        <v>449</v>
      </c>
      <c r="E21" s="14">
        <v>5</v>
      </c>
      <c r="F21" s="4" t="s">
        <v>40</v>
      </c>
      <c r="G21" s="37" t="s">
        <v>489</v>
      </c>
      <c r="H21" s="1" t="s">
        <v>486</v>
      </c>
      <c r="I21" s="80">
        <v>3.6</v>
      </c>
      <c r="J21" s="80">
        <f t="shared" si="0"/>
        <v>18</v>
      </c>
      <c r="K21" s="15" t="s">
        <v>450</v>
      </c>
      <c r="L21" s="39">
        <f t="shared" si="1"/>
        <v>8</v>
      </c>
    </row>
    <row r="22" spans="2:12">
      <c r="B22" s="68">
        <v>20</v>
      </c>
      <c r="C22" s="1" t="s">
        <v>519</v>
      </c>
      <c r="D22" s="1" t="s">
        <v>458</v>
      </c>
      <c r="E22" s="14">
        <v>13</v>
      </c>
      <c r="F22" s="4" t="s">
        <v>494</v>
      </c>
      <c r="G22" s="37" t="s">
        <v>148</v>
      </c>
      <c r="H22" s="1" t="s">
        <v>490</v>
      </c>
      <c r="I22" s="80">
        <v>1.1100000000000001</v>
      </c>
      <c r="J22" s="80">
        <f t="shared" si="0"/>
        <v>14.430000000000001</v>
      </c>
      <c r="K22" s="15" t="s">
        <v>491</v>
      </c>
      <c r="L22" s="39">
        <f t="shared" si="1"/>
        <v>8.9699999999999989</v>
      </c>
    </row>
    <row r="23" spans="2:12">
      <c r="B23" s="68">
        <v>21</v>
      </c>
      <c r="C23" s="1" t="s">
        <v>518</v>
      </c>
      <c r="D23" s="1" t="s">
        <v>492</v>
      </c>
      <c r="E23" s="14">
        <v>2</v>
      </c>
      <c r="F23" s="4" t="s">
        <v>494</v>
      </c>
      <c r="G23" s="37" t="s">
        <v>143</v>
      </c>
      <c r="H23" s="1" t="s">
        <v>493</v>
      </c>
      <c r="I23" s="80">
        <v>1.36</v>
      </c>
      <c r="J23" s="80">
        <f t="shared" si="0"/>
        <v>2.72</v>
      </c>
      <c r="K23" s="15" t="s">
        <v>512</v>
      </c>
      <c r="L23" s="39">
        <f t="shared" si="1"/>
        <v>1.9</v>
      </c>
    </row>
    <row r="24" spans="2:12">
      <c r="B24" s="68">
        <v>22</v>
      </c>
      <c r="C24" s="1" t="s">
        <v>460</v>
      </c>
      <c r="D24" s="1" t="s">
        <v>461</v>
      </c>
      <c r="E24" s="14">
        <v>4</v>
      </c>
      <c r="F24" s="4" t="s">
        <v>117</v>
      </c>
      <c r="G24" s="37" t="s">
        <v>143</v>
      </c>
      <c r="H24" s="1" t="s">
        <v>142</v>
      </c>
      <c r="I24" s="80">
        <v>0.75</v>
      </c>
      <c r="J24" s="80">
        <f t="shared" si="0"/>
        <v>3</v>
      </c>
      <c r="K24" s="15" t="s">
        <v>511</v>
      </c>
      <c r="L24" s="39">
        <f t="shared" si="1"/>
        <v>1.716</v>
      </c>
    </row>
    <row r="25" spans="2:12">
      <c r="B25" s="68">
        <v>23</v>
      </c>
      <c r="C25" s="1" t="s">
        <v>467</v>
      </c>
      <c r="D25" s="1" t="s">
        <v>387</v>
      </c>
      <c r="E25" s="14">
        <v>4</v>
      </c>
      <c r="F25" s="4" t="s">
        <v>86</v>
      </c>
      <c r="G25" s="37" t="s">
        <v>506</v>
      </c>
      <c r="H25" s="1" t="s">
        <v>86</v>
      </c>
      <c r="I25" s="80">
        <v>0</v>
      </c>
      <c r="J25" s="80">
        <f t="shared" si="0"/>
        <v>0</v>
      </c>
      <c r="K25" s="15" t="s">
        <v>468</v>
      </c>
      <c r="L25" s="39">
        <f t="shared" si="1"/>
        <v>1.6</v>
      </c>
    </row>
    <row r="26" spans="2:12">
      <c r="B26" s="68">
        <v>24</v>
      </c>
      <c r="C26" s="1" t="s">
        <v>497</v>
      </c>
      <c r="D26" s="1" t="s">
        <v>501</v>
      </c>
      <c r="E26" s="14">
        <v>16</v>
      </c>
      <c r="F26" s="4" t="s">
        <v>28</v>
      </c>
      <c r="G26" s="37" t="s">
        <v>143</v>
      </c>
      <c r="H26" s="1" t="s">
        <v>499</v>
      </c>
      <c r="I26" s="80">
        <v>0.43</v>
      </c>
      <c r="J26" s="80">
        <f t="shared" si="0"/>
        <v>6.88</v>
      </c>
      <c r="K26" s="15" t="s">
        <v>500</v>
      </c>
      <c r="L26" s="39">
        <f t="shared" si="1"/>
        <v>3.3919999999999999</v>
      </c>
    </row>
    <row r="27" spans="2:12">
      <c r="B27" s="68">
        <v>25</v>
      </c>
      <c r="C27" s="1" t="s">
        <v>497</v>
      </c>
      <c r="D27" s="1" t="s">
        <v>502</v>
      </c>
      <c r="E27" s="14">
        <v>8</v>
      </c>
      <c r="F27" s="4" t="s">
        <v>28</v>
      </c>
      <c r="G27" s="37" t="s">
        <v>143</v>
      </c>
      <c r="H27" s="1" t="s">
        <v>503</v>
      </c>
      <c r="I27" s="80">
        <v>0.23699999999999999</v>
      </c>
      <c r="J27" s="80">
        <f t="shared" si="0"/>
        <v>1.8959999999999999</v>
      </c>
      <c r="K27" s="15" t="s">
        <v>56</v>
      </c>
      <c r="L27" s="39">
        <f t="shared" si="1"/>
        <v>1.44</v>
      </c>
    </row>
    <row r="28" spans="2:12">
      <c r="B28" s="68">
        <v>26</v>
      </c>
      <c r="C28" s="1" t="s">
        <v>517</v>
      </c>
      <c r="D28" s="1" t="s">
        <v>462</v>
      </c>
      <c r="E28" s="14">
        <v>1</v>
      </c>
      <c r="F28" s="4" t="s">
        <v>28</v>
      </c>
      <c r="G28" s="37" t="s">
        <v>148</v>
      </c>
      <c r="H28" s="1" t="s">
        <v>507</v>
      </c>
      <c r="I28" s="80">
        <v>0.27</v>
      </c>
      <c r="J28" s="80">
        <f t="shared" si="0"/>
        <v>0.27</v>
      </c>
      <c r="K28" s="15" t="s">
        <v>508</v>
      </c>
      <c r="L28" s="39">
        <f t="shared" si="1"/>
        <v>0.32400000000000001</v>
      </c>
    </row>
    <row r="29" spans="2:12">
      <c r="B29" s="68">
        <v>27</v>
      </c>
      <c r="C29" s="1" t="s">
        <v>516</v>
      </c>
      <c r="D29" s="1" t="s">
        <v>448</v>
      </c>
      <c r="E29" s="14">
        <v>8</v>
      </c>
      <c r="F29" s="4" t="s">
        <v>28</v>
      </c>
      <c r="G29" s="37" t="s">
        <v>143</v>
      </c>
      <c r="H29" s="1" t="s">
        <v>504</v>
      </c>
      <c r="I29" s="80">
        <v>0.44</v>
      </c>
      <c r="J29" s="80">
        <f t="shared" si="0"/>
        <v>3.52</v>
      </c>
      <c r="K29" s="15" t="s">
        <v>505</v>
      </c>
      <c r="L29" s="39">
        <f t="shared" si="1"/>
        <v>1.8240000000000001</v>
      </c>
    </row>
    <row r="30" spans="2:12">
      <c r="B30" s="68">
        <v>28</v>
      </c>
      <c r="C30" s="1" t="s">
        <v>516</v>
      </c>
      <c r="D30" s="1" t="s">
        <v>459</v>
      </c>
      <c r="E30" s="14">
        <v>1</v>
      </c>
      <c r="F30" s="4" t="s">
        <v>28</v>
      </c>
      <c r="G30" s="37" t="s">
        <v>143</v>
      </c>
      <c r="H30" s="1" t="s">
        <v>509</v>
      </c>
      <c r="I30" s="80">
        <v>0.44</v>
      </c>
      <c r="J30" s="80">
        <f t="shared" si="0"/>
        <v>0.44</v>
      </c>
      <c r="K30" s="15" t="s">
        <v>510</v>
      </c>
      <c r="L30" s="39">
        <f t="shared" si="1"/>
        <v>0.188</v>
      </c>
    </row>
    <row r="31" spans="2:12">
      <c r="B31" s="68">
        <v>29</v>
      </c>
      <c r="C31" s="1" t="s">
        <v>496</v>
      </c>
      <c r="D31" s="1" t="s">
        <v>464</v>
      </c>
      <c r="E31" s="14">
        <v>8</v>
      </c>
      <c r="F31" s="4" t="s">
        <v>28</v>
      </c>
      <c r="G31" s="37" t="s">
        <v>143</v>
      </c>
      <c r="H31" s="1" t="s">
        <v>466</v>
      </c>
      <c r="I31" s="80">
        <v>0.86199999999999999</v>
      </c>
      <c r="J31" s="80">
        <f t="shared" si="0"/>
        <v>6.8959999999999999</v>
      </c>
      <c r="K31" s="15" t="s">
        <v>465</v>
      </c>
      <c r="L31" s="39">
        <f t="shared" si="1"/>
        <v>4</v>
      </c>
    </row>
    <row r="32" spans="2:12">
      <c r="B32" s="68">
        <v>30</v>
      </c>
      <c r="C32" s="1" t="s">
        <v>495</v>
      </c>
      <c r="D32" s="1" t="s">
        <v>463</v>
      </c>
      <c r="E32" s="14">
        <v>16</v>
      </c>
      <c r="F32" s="4" t="s">
        <v>28</v>
      </c>
      <c r="G32" s="37" t="s">
        <v>143</v>
      </c>
      <c r="H32" s="1" t="s">
        <v>498</v>
      </c>
      <c r="I32" s="80">
        <v>1.56</v>
      </c>
      <c r="J32" s="80">
        <f t="shared" si="0"/>
        <v>24.96</v>
      </c>
      <c r="K32" s="15" t="s">
        <v>50</v>
      </c>
      <c r="L32" s="39">
        <f t="shared" si="1"/>
        <v>12.16</v>
      </c>
    </row>
    <row r="33" spans="2:12">
      <c r="B33" s="68">
        <v>31</v>
      </c>
      <c r="C33" s="1" t="s">
        <v>523</v>
      </c>
      <c r="D33" s="1"/>
      <c r="E33" s="14">
        <v>1</v>
      </c>
      <c r="F33" s="37" t="s">
        <v>525</v>
      </c>
      <c r="G33" s="37" t="s">
        <v>524</v>
      </c>
      <c r="H33" s="1" t="s">
        <v>523</v>
      </c>
      <c r="I33" s="80">
        <v>0</v>
      </c>
      <c r="J33" s="80">
        <f t="shared" si="0"/>
        <v>0</v>
      </c>
      <c r="K33" s="15">
        <v>16.68</v>
      </c>
      <c r="L33" s="39">
        <f t="shared" si="1"/>
        <v>16.68</v>
      </c>
    </row>
    <row r="34" spans="2:12">
      <c r="B34" s="68">
        <v>32</v>
      </c>
      <c r="C34" s="41" t="s">
        <v>528</v>
      </c>
      <c r="D34" s="42"/>
      <c r="E34" s="14">
        <v>1</v>
      </c>
      <c r="F34" s="37" t="s">
        <v>525</v>
      </c>
      <c r="G34" s="37" t="s">
        <v>524</v>
      </c>
      <c r="H34" s="41" t="s">
        <v>528</v>
      </c>
      <c r="I34" s="80">
        <v>0</v>
      </c>
      <c r="J34" s="80">
        <f t="shared" si="0"/>
        <v>0</v>
      </c>
      <c r="K34" s="15">
        <v>10</v>
      </c>
      <c r="L34" s="39">
        <f t="shared" si="1"/>
        <v>10</v>
      </c>
    </row>
    <row r="35" spans="2:12">
      <c r="I35" s="82" t="s">
        <v>139</v>
      </c>
      <c r="J35" s="82">
        <f>SUM(J3:J34)</f>
        <v>97.551999999999992</v>
      </c>
      <c r="L35" s="45">
        <f>SUM(L3:L34)</f>
        <v>137.48552999999998</v>
      </c>
    </row>
    <row r="36" spans="2:12">
      <c r="G36" s="71" t="s">
        <v>643</v>
      </c>
      <c r="L36" s="78">
        <f>K33</f>
        <v>16.68</v>
      </c>
    </row>
    <row r="37" spans="2:12">
      <c r="F37">
        <v>95</v>
      </c>
      <c r="G37" s="40" t="s">
        <v>645</v>
      </c>
      <c r="H37">
        <v>760</v>
      </c>
    </row>
    <row r="38" spans="2:12">
      <c r="F38">
        <v>42</v>
      </c>
      <c r="G38" s="40" t="s">
        <v>646</v>
      </c>
      <c r="H38">
        <v>168</v>
      </c>
    </row>
    <row r="39" spans="2:12">
      <c r="F39">
        <v>30</v>
      </c>
      <c r="G39" s="40" t="s">
        <v>647</v>
      </c>
      <c r="H39">
        <v>60</v>
      </c>
    </row>
    <row r="40" spans="2:12">
      <c r="F40" s="72">
        <f>SUM(F37:F39)</f>
        <v>167</v>
      </c>
      <c r="H40" s="72">
        <f>SUM(H37:H39)</f>
        <v>988</v>
      </c>
    </row>
    <row r="41" spans="2:12">
      <c r="F41" t="s">
        <v>648</v>
      </c>
      <c r="G41" s="40" t="s">
        <v>644</v>
      </c>
    </row>
    <row r="42" spans="2:12">
      <c r="F42" t="s">
        <v>139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84"/>
  <sheetViews>
    <sheetView zoomScaleNormal="100" workbookViewId="0">
      <selection activeCell="F2" sqref="F2:I80"/>
    </sheetView>
  </sheetViews>
  <sheetFormatPr defaultRowHeight="15"/>
  <cols>
    <col min="1" max="1" width="3.7109375" customWidth="1"/>
    <col min="3" max="3" width="24.140625" customWidth="1"/>
    <col min="4" max="4" width="62.42578125" customWidth="1"/>
    <col min="5" max="5" width="6.140625" style="22" customWidth="1"/>
    <col min="6" max="6" width="12.42578125" style="22" customWidth="1"/>
    <col min="7" max="7" width="24.140625" customWidth="1"/>
    <col min="8" max="8" width="17.85546875" customWidth="1"/>
    <col min="9" max="9" width="22.7109375" customWidth="1"/>
    <col min="10" max="10" width="10.28515625" style="22" customWidth="1"/>
    <col min="11" max="11" width="13" style="22" customWidth="1"/>
    <col min="12" max="12" width="8.5703125" style="21" customWidth="1"/>
    <col min="13" max="13" width="9.85546875" style="21" bestFit="1" customWidth="1"/>
  </cols>
  <sheetData>
    <row r="2" spans="2:13" ht="30" customHeight="1">
      <c r="B2" s="10" t="s">
        <v>591</v>
      </c>
      <c r="C2" s="10" t="s">
        <v>132</v>
      </c>
      <c r="D2" s="10" t="s">
        <v>133</v>
      </c>
      <c r="E2" s="35" t="s">
        <v>692</v>
      </c>
      <c r="F2" s="35" t="s">
        <v>693</v>
      </c>
      <c r="G2" s="10" t="s">
        <v>134</v>
      </c>
      <c r="H2" s="10" t="s">
        <v>366</v>
      </c>
      <c r="I2" s="10" t="s">
        <v>135</v>
      </c>
      <c r="J2" s="35" t="s">
        <v>677</v>
      </c>
      <c r="K2" s="35" t="s">
        <v>688</v>
      </c>
      <c r="L2" s="34" t="s">
        <v>137</v>
      </c>
      <c r="M2" s="34" t="s">
        <v>138</v>
      </c>
    </row>
    <row r="3" spans="2:13">
      <c r="B3" s="44">
        <v>1</v>
      </c>
      <c r="C3" s="27" t="s">
        <v>365</v>
      </c>
      <c r="D3" s="27" t="s">
        <v>364</v>
      </c>
      <c r="E3" s="26">
        <v>1</v>
      </c>
      <c r="F3" s="26">
        <v>8</v>
      </c>
      <c r="G3" s="61" t="s">
        <v>148</v>
      </c>
      <c r="H3" s="61" t="s">
        <v>255</v>
      </c>
      <c r="I3" s="27" t="s">
        <v>363</v>
      </c>
      <c r="J3" s="83">
        <v>0.02</v>
      </c>
      <c r="K3" s="83">
        <f t="shared" ref="K3:K34" si="0">J3*F3</f>
        <v>0.16</v>
      </c>
      <c r="L3" s="25">
        <v>7.9000000000000008E-3</v>
      </c>
      <c r="M3" s="24">
        <f t="shared" ref="M3:M34" si="1">L3*E3</f>
        <v>7.9000000000000008E-3</v>
      </c>
    </row>
    <row r="4" spans="2:13">
      <c r="B4" s="44">
        <v>2</v>
      </c>
      <c r="C4" s="27" t="s">
        <v>362</v>
      </c>
      <c r="D4" s="27" t="s">
        <v>361</v>
      </c>
      <c r="E4" s="26">
        <v>6</v>
      </c>
      <c r="F4" s="26">
        <v>48</v>
      </c>
      <c r="G4" s="61" t="s">
        <v>148</v>
      </c>
      <c r="H4" s="61" t="s">
        <v>255</v>
      </c>
      <c r="I4" s="27" t="s">
        <v>360</v>
      </c>
      <c r="J4" s="83">
        <v>0.02</v>
      </c>
      <c r="K4" s="83">
        <f t="shared" si="0"/>
        <v>0.96</v>
      </c>
      <c r="L4" s="25">
        <v>7.9000000000000008E-3</v>
      </c>
      <c r="M4" s="24">
        <f t="shared" si="1"/>
        <v>4.7400000000000005E-2</v>
      </c>
    </row>
    <row r="5" spans="2:13">
      <c r="B5" s="44">
        <v>3</v>
      </c>
      <c r="C5" s="27" t="s">
        <v>359</v>
      </c>
      <c r="D5" s="27" t="s">
        <v>358</v>
      </c>
      <c r="E5" s="26">
        <v>2</v>
      </c>
      <c r="F5" s="26">
        <v>16</v>
      </c>
      <c r="G5" s="61" t="s">
        <v>148</v>
      </c>
      <c r="H5" s="61" t="s">
        <v>255</v>
      </c>
      <c r="I5" s="27" t="s">
        <v>357</v>
      </c>
      <c r="J5" s="83">
        <v>0.02</v>
      </c>
      <c r="K5" s="83">
        <f t="shared" si="0"/>
        <v>0.32</v>
      </c>
      <c r="L5" s="25">
        <v>7.9000000000000008E-3</v>
      </c>
      <c r="M5" s="24">
        <f t="shared" si="1"/>
        <v>1.5800000000000002E-2</v>
      </c>
    </row>
    <row r="6" spans="2:13">
      <c r="B6" s="44">
        <v>4</v>
      </c>
      <c r="C6" s="27" t="s">
        <v>356</v>
      </c>
      <c r="D6" s="27" t="s">
        <v>355</v>
      </c>
      <c r="E6" s="26">
        <v>4</v>
      </c>
      <c r="F6" s="26">
        <v>32</v>
      </c>
      <c r="G6" s="61" t="s">
        <v>148</v>
      </c>
      <c r="H6" s="61" t="s">
        <v>255</v>
      </c>
      <c r="I6" s="27" t="s">
        <v>354</v>
      </c>
      <c r="J6" s="83">
        <v>0.02</v>
      </c>
      <c r="K6" s="83">
        <f t="shared" si="0"/>
        <v>0.64</v>
      </c>
      <c r="L6" s="25">
        <v>7.9000000000000008E-3</v>
      </c>
      <c r="M6" s="24">
        <f t="shared" si="1"/>
        <v>3.1600000000000003E-2</v>
      </c>
    </row>
    <row r="7" spans="2:13">
      <c r="B7" s="44">
        <v>5</v>
      </c>
      <c r="C7" s="27" t="s">
        <v>353</v>
      </c>
      <c r="D7" s="27" t="s">
        <v>352</v>
      </c>
      <c r="E7" s="26">
        <v>2</v>
      </c>
      <c r="F7" s="26">
        <v>16</v>
      </c>
      <c r="G7" s="61" t="s">
        <v>148</v>
      </c>
      <c r="H7" s="61" t="s">
        <v>255</v>
      </c>
      <c r="I7" s="27" t="s">
        <v>351</v>
      </c>
      <c r="J7" s="83">
        <v>0.02</v>
      </c>
      <c r="K7" s="83">
        <f t="shared" si="0"/>
        <v>0.32</v>
      </c>
      <c r="L7" s="25">
        <v>7.9000000000000008E-3</v>
      </c>
      <c r="M7" s="24">
        <f t="shared" si="1"/>
        <v>1.5800000000000002E-2</v>
      </c>
    </row>
    <row r="8" spans="2:13">
      <c r="B8" s="44">
        <v>6</v>
      </c>
      <c r="C8" s="27" t="s">
        <v>350</v>
      </c>
      <c r="D8" s="27" t="s">
        <v>349</v>
      </c>
      <c r="E8" s="26">
        <v>2</v>
      </c>
      <c r="F8" s="26">
        <v>16</v>
      </c>
      <c r="G8" s="61" t="s">
        <v>148</v>
      </c>
      <c r="H8" s="61" t="s">
        <v>255</v>
      </c>
      <c r="I8" s="27" t="s">
        <v>348</v>
      </c>
      <c r="J8" s="83">
        <v>0.02</v>
      </c>
      <c r="K8" s="83">
        <f t="shared" si="0"/>
        <v>0.32</v>
      </c>
      <c r="L8" s="25">
        <v>7.9000000000000008E-3</v>
      </c>
      <c r="M8" s="24">
        <f t="shared" si="1"/>
        <v>1.5800000000000002E-2</v>
      </c>
    </row>
    <row r="9" spans="2:13">
      <c r="B9" s="44">
        <v>7</v>
      </c>
      <c r="C9" s="27" t="s">
        <v>108</v>
      </c>
      <c r="D9" s="27" t="s">
        <v>347</v>
      </c>
      <c r="E9" s="26">
        <v>7</v>
      </c>
      <c r="F9" s="26">
        <v>56</v>
      </c>
      <c r="G9" s="61" t="s">
        <v>148</v>
      </c>
      <c r="H9" s="61" t="s">
        <v>255</v>
      </c>
      <c r="I9" s="27" t="s">
        <v>346</v>
      </c>
      <c r="J9" s="83">
        <v>0.02</v>
      </c>
      <c r="K9" s="83">
        <f t="shared" si="0"/>
        <v>1.1200000000000001</v>
      </c>
      <c r="L9" s="25">
        <v>7.9000000000000008E-3</v>
      </c>
      <c r="M9" s="24">
        <f t="shared" si="1"/>
        <v>5.5300000000000002E-2</v>
      </c>
    </row>
    <row r="10" spans="2:13">
      <c r="B10" s="44">
        <v>8</v>
      </c>
      <c r="C10" s="27" t="s">
        <v>345</v>
      </c>
      <c r="D10" s="27" t="s">
        <v>344</v>
      </c>
      <c r="E10" s="26">
        <v>2</v>
      </c>
      <c r="F10" s="26">
        <v>16</v>
      </c>
      <c r="G10" s="61" t="s">
        <v>343</v>
      </c>
      <c r="H10" s="61" t="s">
        <v>342</v>
      </c>
      <c r="I10" s="27" t="s">
        <v>341</v>
      </c>
      <c r="J10" s="83">
        <v>2.85</v>
      </c>
      <c r="K10" s="83">
        <f t="shared" si="0"/>
        <v>45.6</v>
      </c>
      <c r="L10" s="25">
        <v>1.99</v>
      </c>
      <c r="M10" s="24">
        <f t="shared" si="1"/>
        <v>3.98</v>
      </c>
    </row>
    <row r="11" spans="2:13">
      <c r="B11" s="44">
        <v>9</v>
      </c>
      <c r="C11" s="27" t="s">
        <v>340</v>
      </c>
      <c r="D11" s="27" t="s">
        <v>339</v>
      </c>
      <c r="E11" s="26">
        <v>4</v>
      </c>
      <c r="F11" s="26">
        <v>32</v>
      </c>
      <c r="G11" s="61" t="s">
        <v>148</v>
      </c>
      <c r="H11" s="61" t="s">
        <v>255</v>
      </c>
      <c r="I11" s="27" t="s">
        <v>338</v>
      </c>
      <c r="J11" s="83">
        <v>0.02</v>
      </c>
      <c r="K11" s="83">
        <f t="shared" si="0"/>
        <v>0.64</v>
      </c>
      <c r="L11" s="25">
        <v>7.9000000000000008E-3</v>
      </c>
      <c r="M11" s="24">
        <f t="shared" si="1"/>
        <v>3.1600000000000003E-2</v>
      </c>
    </row>
    <row r="12" spans="2:13">
      <c r="B12" s="44">
        <v>10</v>
      </c>
      <c r="C12" s="27" t="s">
        <v>337</v>
      </c>
      <c r="D12" s="27" t="s">
        <v>336</v>
      </c>
      <c r="E12" s="26">
        <v>4</v>
      </c>
      <c r="F12" s="26">
        <v>32</v>
      </c>
      <c r="G12" s="61" t="s">
        <v>148</v>
      </c>
      <c r="H12" s="61" t="s">
        <v>255</v>
      </c>
      <c r="I12" s="27" t="s">
        <v>335</v>
      </c>
      <c r="J12" s="83">
        <v>0.02</v>
      </c>
      <c r="K12" s="83">
        <f t="shared" si="0"/>
        <v>0.64</v>
      </c>
      <c r="L12" s="25">
        <v>7.9000000000000008E-3</v>
      </c>
      <c r="M12" s="24">
        <f t="shared" si="1"/>
        <v>3.1600000000000003E-2</v>
      </c>
    </row>
    <row r="13" spans="2:13">
      <c r="B13" s="44">
        <v>11</v>
      </c>
      <c r="C13" s="27" t="s">
        <v>334</v>
      </c>
      <c r="D13" s="27" t="s">
        <v>333</v>
      </c>
      <c r="E13" s="26">
        <v>2</v>
      </c>
      <c r="F13" s="26">
        <v>16</v>
      </c>
      <c r="G13" s="61" t="s">
        <v>148</v>
      </c>
      <c r="H13" s="61" t="s">
        <v>255</v>
      </c>
      <c r="I13" s="27" t="s">
        <v>332</v>
      </c>
      <c r="J13" s="83">
        <v>0.02</v>
      </c>
      <c r="K13" s="83">
        <f t="shared" si="0"/>
        <v>0.32</v>
      </c>
      <c r="L13" s="25">
        <v>7.9000000000000008E-3</v>
      </c>
      <c r="M13" s="24">
        <f t="shared" si="1"/>
        <v>1.5800000000000002E-2</v>
      </c>
    </row>
    <row r="14" spans="2:13">
      <c r="B14" s="44">
        <v>12</v>
      </c>
      <c r="C14" s="27" t="s">
        <v>91</v>
      </c>
      <c r="D14" s="27" t="s">
        <v>331</v>
      </c>
      <c r="E14" s="26">
        <v>2</v>
      </c>
      <c r="F14" s="26">
        <v>16</v>
      </c>
      <c r="G14" s="61" t="s">
        <v>148</v>
      </c>
      <c r="H14" s="61" t="s">
        <v>255</v>
      </c>
      <c r="I14" s="27" t="s">
        <v>330</v>
      </c>
      <c r="J14" s="83">
        <v>0.02</v>
      </c>
      <c r="K14" s="83">
        <f t="shared" si="0"/>
        <v>0.32</v>
      </c>
      <c r="L14" s="25">
        <v>7.9000000000000008E-3</v>
      </c>
      <c r="M14" s="24">
        <f t="shared" si="1"/>
        <v>1.5800000000000002E-2</v>
      </c>
    </row>
    <row r="15" spans="2:13">
      <c r="B15" s="44">
        <v>13</v>
      </c>
      <c r="C15" s="27" t="s">
        <v>84</v>
      </c>
      <c r="D15" s="27" t="s">
        <v>329</v>
      </c>
      <c r="E15" s="26">
        <v>3</v>
      </c>
      <c r="F15" s="26">
        <v>24</v>
      </c>
      <c r="G15" s="61" t="s">
        <v>148</v>
      </c>
      <c r="H15" s="61" t="s">
        <v>255</v>
      </c>
      <c r="I15" s="27" t="s">
        <v>328</v>
      </c>
      <c r="J15" s="83">
        <v>0.02</v>
      </c>
      <c r="K15" s="83">
        <f t="shared" si="0"/>
        <v>0.48</v>
      </c>
      <c r="L15" s="25">
        <v>7.9000000000000008E-3</v>
      </c>
      <c r="M15" s="24">
        <f t="shared" si="1"/>
        <v>2.3700000000000002E-2</v>
      </c>
    </row>
    <row r="16" spans="2:13">
      <c r="B16" s="44">
        <v>14</v>
      </c>
      <c r="C16" s="27" t="s">
        <v>327</v>
      </c>
      <c r="D16" s="27" t="s">
        <v>326</v>
      </c>
      <c r="E16" s="26">
        <v>2</v>
      </c>
      <c r="F16" s="26">
        <v>16</v>
      </c>
      <c r="G16" s="61" t="s">
        <v>148</v>
      </c>
      <c r="H16" s="61" t="s">
        <v>255</v>
      </c>
      <c r="I16" s="27" t="s">
        <v>325</v>
      </c>
      <c r="J16" s="83">
        <v>0.02</v>
      </c>
      <c r="K16" s="83">
        <f t="shared" si="0"/>
        <v>0.32</v>
      </c>
      <c r="L16" s="25">
        <v>7.9000000000000008E-3</v>
      </c>
      <c r="M16" s="24">
        <f t="shared" si="1"/>
        <v>1.5800000000000002E-2</v>
      </c>
    </row>
    <row r="17" spans="2:13">
      <c r="B17" s="44">
        <v>15</v>
      </c>
      <c r="C17" s="27" t="s">
        <v>73</v>
      </c>
      <c r="D17" s="27" t="s">
        <v>324</v>
      </c>
      <c r="E17" s="26">
        <v>16</v>
      </c>
      <c r="F17" s="26">
        <v>128</v>
      </c>
      <c r="G17" s="61" t="s">
        <v>148</v>
      </c>
      <c r="H17" s="61" t="s">
        <v>255</v>
      </c>
      <c r="I17" s="27" t="s">
        <v>323</v>
      </c>
      <c r="J17" s="83">
        <v>0.02</v>
      </c>
      <c r="K17" s="83">
        <f t="shared" si="0"/>
        <v>2.56</v>
      </c>
      <c r="L17" s="25">
        <v>7.9000000000000008E-3</v>
      </c>
      <c r="M17" s="24">
        <f t="shared" si="1"/>
        <v>0.12640000000000001</v>
      </c>
    </row>
    <row r="18" spans="2:13">
      <c r="B18" s="44">
        <v>16</v>
      </c>
      <c r="C18" s="27" t="s">
        <v>322</v>
      </c>
      <c r="D18" s="27" t="s">
        <v>321</v>
      </c>
      <c r="E18" s="26">
        <v>1</v>
      </c>
      <c r="F18" s="26">
        <v>8</v>
      </c>
      <c r="G18" s="61" t="s">
        <v>148</v>
      </c>
      <c r="H18" s="61" t="s">
        <v>255</v>
      </c>
      <c r="I18" s="27" t="s">
        <v>320</v>
      </c>
      <c r="J18" s="83">
        <v>0.02</v>
      </c>
      <c r="K18" s="83">
        <f t="shared" si="0"/>
        <v>0.16</v>
      </c>
      <c r="L18" s="25">
        <v>7.9000000000000008E-3</v>
      </c>
      <c r="M18" s="24">
        <f t="shared" si="1"/>
        <v>7.9000000000000008E-3</v>
      </c>
    </row>
    <row r="19" spans="2:13">
      <c r="B19" s="44">
        <v>17</v>
      </c>
      <c r="C19" s="27" t="s">
        <v>319</v>
      </c>
      <c r="D19" s="27" t="s">
        <v>318</v>
      </c>
      <c r="E19" s="26">
        <v>2</v>
      </c>
      <c r="F19" s="26">
        <v>16</v>
      </c>
      <c r="G19" s="61" t="s">
        <v>148</v>
      </c>
      <c r="H19" s="61" t="s">
        <v>24</v>
      </c>
      <c r="I19" s="27" t="s">
        <v>317</v>
      </c>
      <c r="J19" s="83">
        <v>0.02</v>
      </c>
      <c r="K19" s="83">
        <f t="shared" si="0"/>
        <v>0.32</v>
      </c>
      <c r="L19" s="25">
        <v>1.0500000000000001E-2</v>
      </c>
      <c r="M19" s="24">
        <f t="shared" si="1"/>
        <v>2.1000000000000001E-2</v>
      </c>
    </row>
    <row r="20" spans="2:13">
      <c r="B20" s="44">
        <v>18</v>
      </c>
      <c r="C20" s="27" t="s">
        <v>316</v>
      </c>
      <c r="D20" s="27" t="s">
        <v>315</v>
      </c>
      <c r="E20" s="26">
        <v>2</v>
      </c>
      <c r="F20" s="26">
        <v>16</v>
      </c>
      <c r="G20" s="61" t="s">
        <v>148</v>
      </c>
      <c r="H20" s="61" t="s">
        <v>255</v>
      </c>
      <c r="I20" s="27" t="s">
        <v>314</v>
      </c>
      <c r="J20" s="83">
        <v>0.02</v>
      </c>
      <c r="K20" s="83">
        <f t="shared" si="0"/>
        <v>0.32</v>
      </c>
      <c r="L20" s="25">
        <v>7.9000000000000008E-3</v>
      </c>
      <c r="M20" s="24">
        <f t="shared" si="1"/>
        <v>1.5800000000000002E-2</v>
      </c>
    </row>
    <row r="21" spans="2:13">
      <c r="B21" s="44">
        <v>19</v>
      </c>
      <c r="C21" s="27" t="s">
        <v>313</v>
      </c>
      <c r="D21" s="27" t="s">
        <v>312</v>
      </c>
      <c r="E21" s="26">
        <v>6</v>
      </c>
      <c r="F21" s="26">
        <v>48</v>
      </c>
      <c r="G21" s="61" t="s">
        <v>148</v>
      </c>
      <c r="H21" s="61" t="s">
        <v>24</v>
      </c>
      <c r="I21" s="27" t="s">
        <v>311</v>
      </c>
      <c r="J21" s="83">
        <v>0.02</v>
      </c>
      <c r="K21" s="83">
        <f t="shared" si="0"/>
        <v>0.96</v>
      </c>
      <c r="L21" s="25">
        <v>1.0500000000000001E-2</v>
      </c>
      <c r="M21" s="24">
        <f t="shared" si="1"/>
        <v>6.3E-2</v>
      </c>
    </row>
    <row r="22" spans="2:13">
      <c r="B22" s="44">
        <v>20</v>
      </c>
      <c r="C22" s="27" t="s">
        <v>310</v>
      </c>
      <c r="D22" s="27" t="s">
        <v>309</v>
      </c>
      <c r="E22" s="26">
        <v>5</v>
      </c>
      <c r="F22" s="26">
        <v>40</v>
      </c>
      <c r="G22" s="61" t="s">
        <v>148</v>
      </c>
      <c r="H22" s="61" t="s">
        <v>255</v>
      </c>
      <c r="I22" s="27" t="s">
        <v>308</v>
      </c>
      <c r="J22" s="83">
        <v>0.02</v>
      </c>
      <c r="K22" s="83">
        <f t="shared" si="0"/>
        <v>0.8</v>
      </c>
      <c r="L22" s="25">
        <v>7.9000000000000008E-3</v>
      </c>
      <c r="M22" s="24">
        <f t="shared" si="1"/>
        <v>3.9500000000000007E-2</v>
      </c>
    </row>
    <row r="23" spans="2:13">
      <c r="B23" s="44">
        <v>21</v>
      </c>
      <c r="C23" s="27" t="s">
        <v>307</v>
      </c>
      <c r="D23" s="27" t="s">
        <v>306</v>
      </c>
      <c r="E23" s="26">
        <v>2</v>
      </c>
      <c r="F23" s="26">
        <v>16</v>
      </c>
      <c r="G23" s="61" t="s">
        <v>148</v>
      </c>
      <c r="H23" s="61" t="s">
        <v>24</v>
      </c>
      <c r="I23" s="27" t="s">
        <v>305</v>
      </c>
      <c r="J23" s="83">
        <v>0.02</v>
      </c>
      <c r="K23" s="83">
        <f t="shared" si="0"/>
        <v>0.32</v>
      </c>
      <c r="L23" s="25">
        <v>1.0500000000000001E-2</v>
      </c>
      <c r="M23" s="24">
        <f t="shared" si="1"/>
        <v>2.1000000000000001E-2</v>
      </c>
    </row>
    <row r="24" spans="2:13">
      <c r="B24" s="44">
        <v>22</v>
      </c>
      <c r="C24" s="27" t="s">
        <v>89</v>
      </c>
      <c r="D24" s="27" t="s">
        <v>304</v>
      </c>
      <c r="E24" s="26">
        <v>1</v>
      </c>
      <c r="F24" s="26">
        <v>8</v>
      </c>
      <c r="G24" s="61" t="s">
        <v>148</v>
      </c>
      <c r="H24" s="61" t="s">
        <v>255</v>
      </c>
      <c r="I24" s="27" t="s">
        <v>303</v>
      </c>
      <c r="J24" s="83">
        <v>0.02</v>
      </c>
      <c r="K24" s="83">
        <f t="shared" si="0"/>
        <v>0.16</v>
      </c>
      <c r="L24" s="25">
        <v>7.9000000000000008E-3</v>
      </c>
      <c r="M24" s="24">
        <f t="shared" si="1"/>
        <v>7.9000000000000008E-3</v>
      </c>
    </row>
    <row r="25" spans="2:13">
      <c r="B25" s="44">
        <v>23</v>
      </c>
      <c r="C25" s="27" t="s">
        <v>302</v>
      </c>
      <c r="D25" s="27" t="s">
        <v>301</v>
      </c>
      <c r="E25" s="26">
        <v>2</v>
      </c>
      <c r="F25" s="26">
        <v>16</v>
      </c>
      <c r="G25" s="61" t="s">
        <v>148</v>
      </c>
      <c r="H25" s="61" t="s">
        <v>24</v>
      </c>
      <c r="I25" s="27" t="s">
        <v>300</v>
      </c>
      <c r="J25" s="83">
        <v>0.02</v>
      </c>
      <c r="K25" s="83">
        <f t="shared" si="0"/>
        <v>0.32</v>
      </c>
      <c r="L25" s="25">
        <v>1.0500000000000001E-2</v>
      </c>
      <c r="M25" s="24">
        <f t="shared" si="1"/>
        <v>2.1000000000000001E-2</v>
      </c>
    </row>
    <row r="26" spans="2:13">
      <c r="B26" s="44">
        <v>24</v>
      </c>
      <c r="C26" s="27" t="s">
        <v>299</v>
      </c>
      <c r="D26" s="27" t="s">
        <v>298</v>
      </c>
      <c r="E26" s="26">
        <v>7</v>
      </c>
      <c r="F26" s="26">
        <v>56</v>
      </c>
      <c r="G26" s="61" t="s">
        <v>148</v>
      </c>
      <c r="H26" s="61" t="s">
        <v>255</v>
      </c>
      <c r="I26" s="27" t="s">
        <v>297</v>
      </c>
      <c r="J26" s="83">
        <v>0.02</v>
      </c>
      <c r="K26" s="83">
        <f t="shared" si="0"/>
        <v>1.1200000000000001</v>
      </c>
      <c r="L26" s="25">
        <v>7.9000000000000008E-3</v>
      </c>
      <c r="M26" s="24">
        <f t="shared" si="1"/>
        <v>5.5300000000000002E-2</v>
      </c>
    </row>
    <row r="27" spans="2:13">
      <c r="B27" s="44">
        <v>25</v>
      </c>
      <c r="C27" s="27" t="s">
        <v>296</v>
      </c>
      <c r="D27" s="27" t="s">
        <v>295</v>
      </c>
      <c r="E27" s="26">
        <v>2</v>
      </c>
      <c r="F27" s="26">
        <v>16</v>
      </c>
      <c r="G27" s="61" t="s">
        <v>148</v>
      </c>
      <c r="H27" s="61" t="s">
        <v>24</v>
      </c>
      <c r="I27" s="27" t="s">
        <v>294</v>
      </c>
      <c r="J27" s="83">
        <v>0.02</v>
      </c>
      <c r="K27" s="83">
        <f t="shared" si="0"/>
        <v>0.32</v>
      </c>
      <c r="L27" s="25">
        <v>1.0500000000000001E-2</v>
      </c>
      <c r="M27" s="24">
        <f t="shared" si="1"/>
        <v>2.1000000000000001E-2</v>
      </c>
    </row>
    <row r="28" spans="2:13">
      <c r="B28" s="44">
        <v>26</v>
      </c>
      <c r="C28" s="27" t="s">
        <v>293</v>
      </c>
      <c r="D28" s="27" t="s">
        <v>292</v>
      </c>
      <c r="E28" s="26">
        <v>2</v>
      </c>
      <c r="F28" s="26">
        <v>16</v>
      </c>
      <c r="G28" s="61" t="s">
        <v>148</v>
      </c>
      <c r="H28" s="61" t="s">
        <v>24</v>
      </c>
      <c r="I28" s="27" t="s">
        <v>291</v>
      </c>
      <c r="J28" s="83">
        <v>0.02</v>
      </c>
      <c r="K28" s="83">
        <f t="shared" si="0"/>
        <v>0.32</v>
      </c>
      <c r="L28" s="25">
        <v>1.0500000000000001E-2</v>
      </c>
      <c r="M28" s="24">
        <f t="shared" si="1"/>
        <v>2.1000000000000001E-2</v>
      </c>
    </row>
    <row r="29" spans="2:13">
      <c r="B29" s="44">
        <v>27</v>
      </c>
      <c r="C29" s="27" t="s">
        <v>290</v>
      </c>
      <c r="D29" s="27" t="s">
        <v>289</v>
      </c>
      <c r="E29" s="26">
        <v>2</v>
      </c>
      <c r="F29" s="26">
        <v>16</v>
      </c>
      <c r="G29" s="61" t="s">
        <v>148</v>
      </c>
      <c r="H29" s="61" t="s">
        <v>24</v>
      </c>
      <c r="I29" s="27" t="s">
        <v>288</v>
      </c>
      <c r="J29" s="83">
        <v>0.02</v>
      </c>
      <c r="K29" s="83">
        <f t="shared" si="0"/>
        <v>0.32</v>
      </c>
      <c r="L29" s="25">
        <v>1.0500000000000001E-2</v>
      </c>
      <c r="M29" s="24">
        <f t="shared" si="1"/>
        <v>2.1000000000000001E-2</v>
      </c>
    </row>
    <row r="30" spans="2:13">
      <c r="B30" s="44">
        <v>28</v>
      </c>
      <c r="C30" s="27" t="s">
        <v>287</v>
      </c>
      <c r="D30" s="27" t="s">
        <v>286</v>
      </c>
      <c r="E30" s="26">
        <v>1</v>
      </c>
      <c r="F30" s="26">
        <v>8</v>
      </c>
      <c r="G30" s="61" t="s">
        <v>148</v>
      </c>
      <c r="H30" s="61" t="s">
        <v>24</v>
      </c>
      <c r="I30" s="27" t="s">
        <v>285</v>
      </c>
      <c r="J30" s="83">
        <v>0.02</v>
      </c>
      <c r="K30" s="83">
        <f t="shared" si="0"/>
        <v>0.16</v>
      </c>
      <c r="L30" s="25">
        <v>1.0500000000000001E-2</v>
      </c>
      <c r="M30" s="24">
        <f t="shared" si="1"/>
        <v>1.0500000000000001E-2</v>
      </c>
    </row>
    <row r="31" spans="2:13">
      <c r="B31" s="44">
        <v>29</v>
      </c>
      <c r="C31" s="27" t="s">
        <v>100</v>
      </c>
      <c r="D31" s="27" t="s">
        <v>284</v>
      </c>
      <c r="E31" s="26">
        <v>3</v>
      </c>
      <c r="F31" s="26">
        <v>24</v>
      </c>
      <c r="G31" s="61" t="s">
        <v>148</v>
      </c>
      <c r="H31" s="61" t="s">
        <v>255</v>
      </c>
      <c r="I31" s="27" t="s">
        <v>283</v>
      </c>
      <c r="J31" s="83">
        <v>0.02</v>
      </c>
      <c r="K31" s="83">
        <f t="shared" si="0"/>
        <v>0.48</v>
      </c>
      <c r="L31" s="25">
        <v>7.9000000000000008E-3</v>
      </c>
      <c r="M31" s="24">
        <f t="shared" si="1"/>
        <v>2.3700000000000002E-2</v>
      </c>
    </row>
    <row r="32" spans="2:13">
      <c r="B32" s="44">
        <v>30</v>
      </c>
      <c r="C32" s="27" t="s">
        <v>282</v>
      </c>
      <c r="D32" s="27" t="s">
        <v>281</v>
      </c>
      <c r="E32" s="26">
        <v>2</v>
      </c>
      <c r="F32" s="26">
        <v>16</v>
      </c>
      <c r="G32" s="61" t="s">
        <v>148</v>
      </c>
      <c r="H32" s="61" t="s">
        <v>255</v>
      </c>
      <c r="I32" s="27" t="s">
        <v>280</v>
      </c>
      <c r="J32" s="83">
        <v>0.02</v>
      </c>
      <c r="K32" s="83">
        <f t="shared" si="0"/>
        <v>0.32</v>
      </c>
      <c r="L32" s="25">
        <v>7.9000000000000008E-3</v>
      </c>
      <c r="M32" s="24">
        <f t="shared" si="1"/>
        <v>1.5800000000000002E-2</v>
      </c>
    </row>
    <row r="33" spans="2:13" s="6" customFormat="1" ht="30" customHeight="1">
      <c r="B33" s="44">
        <v>31</v>
      </c>
      <c r="C33" s="33" t="s">
        <v>72</v>
      </c>
      <c r="D33" s="32" t="s">
        <v>279</v>
      </c>
      <c r="E33" s="31">
        <v>31</v>
      </c>
      <c r="F33" s="26">
        <v>248</v>
      </c>
      <c r="G33" s="62" t="s">
        <v>148</v>
      </c>
      <c r="H33" s="62" t="s">
        <v>255</v>
      </c>
      <c r="I33" s="32" t="s">
        <v>278</v>
      </c>
      <c r="J33" s="83">
        <v>0.02</v>
      </c>
      <c r="K33" s="83">
        <f t="shared" si="0"/>
        <v>4.96</v>
      </c>
      <c r="L33" s="25">
        <v>7.9000000000000008E-3</v>
      </c>
      <c r="M33" s="30">
        <f t="shared" si="1"/>
        <v>0.24490000000000003</v>
      </c>
    </row>
    <row r="34" spans="2:13">
      <c r="B34" s="44">
        <v>32</v>
      </c>
      <c r="C34" s="27" t="s">
        <v>277</v>
      </c>
      <c r="D34" s="27" t="s">
        <v>276</v>
      </c>
      <c r="E34" s="26">
        <v>2</v>
      </c>
      <c r="F34" s="26">
        <v>16</v>
      </c>
      <c r="G34" s="61" t="s">
        <v>148</v>
      </c>
      <c r="H34" s="61" t="s">
        <v>255</v>
      </c>
      <c r="I34" s="27" t="s">
        <v>275</v>
      </c>
      <c r="J34" s="83">
        <v>0.02</v>
      </c>
      <c r="K34" s="83">
        <f t="shared" si="0"/>
        <v>0.32</v>
      </c>
      <c r="L34" s="25">
        <v>7.9000000000000008E-3</v>
      </c>
      <c r="M34" s="24">
        <f t="shared" si="1"/>
        <v>1.5800000000000002E-2</v>
      </c>
    </row>
    <row r="35" spans="2:13">
      <c r="B35" s="44">
        <v>33</v>
      </c>
      <c r="C35" s="27" t="s">
        <v>96</v>
      </c>
      <c r="D35" s="27" t="s">
        <v>274</v>
      </c>
      <c r="E35" s="26">
        <v>2</v>
      </c>
      <c r="F35" s="26">
        <v>16</v>
      </c>
      <c r="G35" s="61" t="s">
        <v>148</v>
      </c>
      <c r="H35" s="61" t="s">
        <v>255</v>
      </c>
      <c r="I35" s="27" t="s">
        <v>273</v>
      </c>
      <c r="J35" s="83">
        <v>0.02</v>
      </c>
      <c r="K35" s="83">
        <f t="shared" ref="K35:K66" si="2">J35*F35</f>
        <v>0.32</v>
      </c>
      <c r="L35" s="25">
        <v>7.9000000000000008E-3</v>
      </c>
      <c r="M35" s="24">
        <f t="shared" ref="M35:M66" si="3">L35*E35</f>
        <v>1.5800000000000002E-2</v>
      </c>
    </row>
    <row r="36" spans="2:13">
      <c r="B36" s="44">
        <v>34</v>
      </c>
      <c r="C36" s="27" t="s">
        <v>272</v>
      </c>
      <c r="D36" s="27" t="s">
        <v>271</v>
      </c>
      <c r="E36" s="26">
        <v>1</v>
      </c>
      <c r="F36" s="26">
        <v>8</v>
      </c>
      <c r="G36" s="61" t="s">
        <v>148</v>
      </c>
      <c r="H36" s="61" t="s">
        <v>255</v>
      </c>
      <c r="I36" s="27" t="s">
        <v>270</v>
      </c>
      <c r="J36" s="83">
        <v>0.02</v>
      </c>
      <c r="K36" s="83">
        <f t="shared" si="2"/>
        <v>0.16</v>
      </c>
      <c r="L36" s="25">
        <v>7.9000000000000008E-3</v>
      </c>
      <c r="M36" s="24">
        <f t="shared" si="3"/>
        <v>7.9000000000000008E-3</v>
      </c>
    </row>
    <row r="37" spans="2:13">
      <c r="B37" s="44">
        <v>35</v>
      </c>
      <c r="C37" s="27" t="s">
        <v>269</v>
      </c>
      <c r="D37" s="27" t="s">
        <v>268</v>
      </c>
      <c r="E37" s="26">
        <v>1</v>
      </c>
      <c r="F37" s="26">
        <v>8</v>
      </c>
      <c r="G37" s="61" t="s">
        <v>148</v>
      </c>
      <c r="H37" s="61" t="s">
        <v>255</v>
      </c>
      <c r="I37" s="27" t="s">
        <v>267</v>
      </c>
      <c r="J37" s="83">
        <v>0.02</v>
      </c>
      <c r="K37" s="83">
        <f t="shared" si="2"/>
        <v>0.16</v>
      </c>
      <c r="L37" s="25">
        <v>7.9000000000000008E-3</v>
      </c>
      <c r="M37" s="24">
        <f t="shared" si="3"/>
        <v>7.9000000000000008E-3</v>
      </c>
    </row>
    <row r="38" spans="2:13">
      <c r="B38" s="44">
        <v>36</v>
      </c>
      <c r="C38" s="27" t="s">
        <v>78</v>
      </c>
      <c r="D38" s="27" t="s">
        <v>266</v>
      </c>
      <c r="E38" s="26">
        <v>2</v>
      </c>
      <c r="F38" s="26">
        <v>16</v>
      </c>
      <c r="G38" s="61" t="s">
        <v>148</v>
      </c>
      <c r="H38" s="61" t="s">
        <v>24</v>
      </c>
      <c r="I38" s="27" t="s">
        <v>265</v>
      </c>
      <c r="J38" s="83">
        <v>0.02</v>
      </c>
      <c r="K38" s="83">
        <f t="shared" si="2"/>
        <v>0.32</v>
      </c>
      <c r="L38" s="25">
        <v>1.0500000000000001E-2</v>
      </c>
      <c r="M38" s="24">
        <f t="shared" si="3"/>
        <v>2.1000000000000001E-2</v>
      </c>
    </row>
    <row r="39" spans="2:13">
      <c r="B39" s="44">
        <v>37</v>
      </c>
      <c r="C39" s="27" t="s">
        <v>264</v>
      </c>
      <c r="D39" s="27" t="s">
        <v>263</v>
      </c>
      <c r="E39" s="26">
        <v>2</v>
      </c>
      <c r="F39" s="26">
        <v>16</v>
      </c>
      <c r="G39" s="61" t="s">
        <v>148</v>
      </c>
      <c r="H39" s="61" t="s">
        <v>24</v>
      </c>
      <c r="I39" s="27" t="s">
        <v>262</v>
      </c>
      <c r="J39" s="83">
        <v>0.02</v>
      </c>
      <c r="K39" s="83">
        <f t="shared" si="2"/>
        <v>0.32</v>
      </c>
      <c r="L39" s="25">
        <v>1.0500000000000001E-2</v>
      </c>
      <c r="M39" s="24">
        <f t="shared" si="3"/>
        <v>2.1000000000000001E-2</v>
      </c>
    </row>
    <row r="40" spans="2:13">
      <c r="B40" s="44">
        <v>38</v>
      </c>
      <c r="C40" s="27" t="s">
        <v>261</v>
      </c>
      <c r="D40" s="27" t="s">
        <v>260</v>
      </c>
      <c r="E40" s="26">
        <v>2</v>
      </c>
      <c r="F40" s="26">
        <v>16</v>
      </c>
      <c r="G40" s="61" t="s">
        <v>148</v>
      </c>
      <c r="H40" s="61" t="s">
        <v>24</v>
      </c>
      <c r="I40" s="27" t="s">
        <v>259</v>
      </c>
      <c r="J40" s="83">
        <v>0.02</v>
      </c>
      <c r="K40" s="83">
        <f t="shared" si="2"/>
        <v>0.32</v>
      </c>
      <c r="L40" s="25">
        <v>1.0500000000000001E-2</v>
      </c>
      <c r="M40" s="24">
        <f t="shared" si="3"/>
        <v>2.1000000000000001E-2</v>
      </c>
    </row>
    <row r="41" spans="2:13">
      <c r="B41" s="44">
        <v>39</v>
      </c>
      <c r="C41" s="27" t="s">
        <v>87</v>
      </c>
      <c r="D41" s="27" t="s">
        <v>258</v>
      </c>
      <c r="E41" s="26">
        <v>2</v>
      </c>
      <c r="F41" s="26">
        <v>16</v>
      </c>
      <c r="G41" s="61" t="s">
        <v>148</v>
      </c>
      <c r="H41" s="61" t="s">
        <v>255</v>
      </c>
      <c r="I41" s="27" t="s">
        <v>257</v>
      </c>
      <c r="J41" s="83">
        <v>0.02</v>
      </c>
      <c r="K41" s="83">
        <f t="shared" si="2"/>
        <v>0.32</v>
      </c>
      <c r="L41" s="25">
        <v>7.9000000000000008E-3</v>
      </c>
      <c r="M41" s="24">
        <f t="shared" si="3"/>
        <v>1.5800000000000002E-2</v>
      </c>
    </row>
    <row r="42" spans="2:13">
      <c r="B42" s="44">
        <v>40</v>
      </c>
      <c r="C42" s="27" t="s">
        <v>94</v>
      </c>
      <c r="D42" s="27" t="s">
        <v>256</v>
      </c>
      <c r="E42" s="26">
        <v>1</v>
      </c>
      <c r="F42" s="26">
        <v>8</v>
      </c>
      <c r="G42" s="61" t="s">
        <v>148</v>
      </c>
      <c r="H42" s="61" t="s">
        <v>255</v>
      </c>
      <c r="I42" s="27" t="s">
        <v>254</v>
      </c>
      <c r="J42" s="83">
        <v>0.02</v>
      </c>
      <c r="K42" s="83">
        <f t="shared" si="2"/>
        <v>0.16</v>
      </c>
      <c r="L42" s="25">
        <v>7.9000000000000008E-3</v>
      </c>
      <c r="M42" s="24">
        <f t="shared" si="3"/>
        <v>7.9000000000000008E-3</v>
      </c>
    </row>
    <row r="43" spans="2:13">
      <c r="B43" s="44">
        <v>41</v>
      </c>
      <c r="C43" s="27" t="s">
        <v>122</v>
      </c>
      <c r="D43" s="27" t="s">
        <v>253</v>
      </c>
      <c r="E43" s="26">
        <v>2</v>
      </c>
      <c r="F43" s="26">
        <v>16</v>
      </c>
      <c r="G43" s="61" t="s">
        <v>148</v>
      </c>
      <c r="H43" s="61" t="s">
        <v>24</v>
      </c>
      <c r="I43" s="27" t="s">
        <v>252</v>
      </c>
      <c r="J43" s="83">
        <v>0.02</v>
      </c>
      <c r="K43" s="83">
        <f t="shared" si="2"/>
        <v>0.32</v>
      </c>
      <c r="L43" s="25">
        <v>1.0500000000000001E-2</v>
      </c>
      <c r="M43" s="24">
        <f t="shared" si="3"/>
        <v>2.1000000000000001E-2</v>
      </c>
    </row>
    <row r="44" spans="2:13">
      <c r="B44" s="44">
        <v>42</v>
      </c>
      <c r="C44" s="27" t="s">
        <v>251</v>
      </c>
      <c r="D44" s="27" t="s">
        <v>250</v>
      </c>
      <c r="E44" s="26">
        <v>2</v>
      </c>
      <c r="F44" s="26">
        <v>16</v>
      </c>
      <c r="G44" s="61" t="s">
        <v>148</v>
      </c>
      <c r="H44" s="61" t="s">
        <v>24</v>
      </c>
      <c r="I44" s="27" t="s">
        <v>249</v>
      </c>
      <c r="J44" s="83">
        <v>0.02</v>
      </c>
      <c r="K44" s="83">
        <f t="shared" si="2"/>
        <v>0.32</v>
      </c>
      <c r="L44" s="25">
        <v>1.0500000000000001E-2</v>
      </c>
      <c r="M44" s="24">
        <f t="shared" si="3"/>
        <v>2.1000000000000001E-2</v>
      </c>
    </row>
    <row r="45" spans="2:13">
      <c r="B45" s="44">
        <v>43</v>
      </c>
      <c r="C45" s="27" t="s">
        <v>16</v>
      </c>
      <c r="D45" s="27" t="s">
        <v>248</v>
      </c>
      <c r="E45" s="26">
        <v>2</v>
      </c>
      <c r="F45" s="26">
        <v>16</v>
      </c>
      <c r="G45" s="61" t="s">
        <v>148</v>
      </c>
      <c r="H45" s="61" t="s">
        <v>2</v>
      </c>
      <c r="I45" s="27" t="s">
        <v>247</v>
      </c>
      <c r="J45" s="83">
        <v>0.15</v>
      </c>
      <c r="K45" s="83">
        <f t="shared" si="2"/>
        <v>2.4</v>
      </c>
      <c r="L45" s="25">
        <v>0.24</v>
      </c>
      <c r="M45" s="24">
        <f t="shared" si="3"/>
        <v>0.48</v>
      </c>
    </row>
    <row r="46" spans="2:13">
      <c r="B46" s="44">
        <v>44</v>
      </c>
      <c r="C46" s="27" t="s">
        <v>246</v>
      </c>
      <c r="D46" s="27" t="s">
        <v>245</v>
      </c>
      <c r="E46" s="26">
        <v>3</v>
      </c>
      <c r="F46" s="26">
        <v>24</v>
      </c>
      <c r="G46" s="61" t="s">
        <v>148</v>
      </c>
      <c r="H46" s="61" t="s">
        <v>31</v>
      </c>
      <c r="I46" s="27" t="s">
        <v>244</v>
      </c>
      <c r="J46" s="83">
        <v>0.15</v>
      </c>
      <c r="K46" s="83">
        <f t="shared" si="2"/>
        <v>3.5999999999999996</v>
      </c>
      <c r="L46" s="25">
        <v>0.36</v>
      </c>
      <c r="M46" s="24">
        <f t="shared" si="3"/>
        <v>1.08</v>
      </c>
    </row>
    <row r="47" spans="2:13">
      <c r="B47" s="44">
        <v>45</v>
      </c>
      <c r="C47" s="27" t="s">
        <v>243</v>
      </c>
      <c r="D47" s="27" t="s">
        <v>242</v>
      </c>
      <c r="E47" s="26">
        <v>2</v>
      </c>
      <c r="F47" s="26">
        <v>16</v>
      </c>
      <c r="G47" s="61" t="s">
        <v>148</v>
      </c>
      <c r="H47" s="61" t="s">
        <v>241</v>
      </c>
      <c r="I47" s="27" t="s">
        <v>240</v>
      </c>
      <c r="J47" s="83">
        <v>3.2</v>
      </c>
      <c r="K47" s="83">
        <f t="shared" si="2"/>
        <v>51.2</v>
      </c>
      <c r="L47" s="25">
        <v>0.5</v>
      </c>
      <c r="M47" s="24">
        <f t="shared" si="3"/>
        <v>1</v>
      </c>
    </row>
    <row r="48" spans="2:13">
      <c r="B48" s="44">
        <v>46</v>
      </c>
      <c r="C48" s="27" t="s">
        <v>239</v>
      </c>
      <c r="D48" s="27" t="s">
        <v>238</v>
      </c>
      <c r="E48" s="26">
        <v>3</v>
      </c>
      <c r="F48" s="26">
        <v>24</v>
      </c>
      <c r="G48" s="61" t="s">
        <v>148</v>
      </c>
      <c r="H48" s="61" t="s">
        <v>4</v>
      </c>
      <c r="I48" s="27" t="s">
        <v>237</v>
      </c>
      <c r="J48" s="83">
        <v>0.1</v>
      </c>
      <c r="K48" s="83">
        <f t="shared" si="2"/>
        <v>2.4000000000000004</v>
      </c>
      <c r="L48" s="25">
        <v>0.24</v>
      </c>
      <c r="M48" s="24">
        <f t="shared" si="3"/>
        <v>0.72</v>
      </c>
    </row>
    <row r="49" spans="2:13">
      <c r="B49" s="44">
        <v>47</v>
      </c>
      <c r="C49" s="27" t="s">
        <v>236</v>
      </c>
      <c r="D49" s="27" t="s">
        <v>235</v>
      </c>
      <c r="E49" s="26">
        <v>2</v>
      </c>
      <c r="F49" s="26">
        <v>16</v>
      </c>
      <c r="G49" s="61" t="s">
        <v>148</v>
      </c>
      <c r="H49" s="61" t="s">
        <v>4</v>
      </c>
      <c r="I49" s="27" t="s">
        <v>234</v>
      </c>
      <c r="J49" s="83">
        <v>0.12</v>
      </c>
      <c r="K49" s="83">
        <f t="shared" si="2"/>
        <v>1.92</v>
      </c>
      <c r="L49" s="25">
        <v>0.44</v>
      </c>
      <c r="M49" s="24">
        <f t="shared" si="3"/>
        <v>0.88</v>
      </c>
    </row>
    <row r="50" spans="2:13">
      <c r="B50" s="44">
        <v>48</v>
      </c>
      <c r="C50" s="27" t="s">
        <v>6</v>
      </c>
      <c r="D50" s="27" t="s">
        <v>233</v>
      </c>
      <c r="E50" s="26">
        <v>3</v>
      </c>
      <c r="F50" s="26">
        <v>24</v>
      </c>
      <c r="G50" s="61" t="s">
        <v>148</v>
      </c>
      <c r="H50" s="61" t="s">
        <v>4</v>
      </c>
      <c r="I50" s="27" t="s">
        <v>232</v>
      </c>
      <c r="J50" s="83">
        <v>0.3</v>
      </c>
      <c r="K50" s="83">
        <f t="shared" si="2"/>
        <v>7.1999999999999993</v>
      </c>
      <c r="L50" s="25">
        <v>0.64</v>
      </c>
      <c r="M50" s="24">
        <f t="shared" si="3"/>
        <v>1.92</v>
      </c>
    </row>
    <row r="51" spans="2:13">
      <c r="B51" s="44">
        <v>49</v>
      </c>
      <c r="C51" s="27" t="s">
        <v>231</v>
      </c>
      <c r="D51" s="27" t="s">
        <v>230</v>
      </c>
      <c r="E51" s="26">
        <v>2</v>
      </c>
      <c r="F51" s="26">
        <v>16</v>
      </c>
      <c r="G51" s="61" t="s">
        <v>121</v>
      </c>
      <c r="H51" s="61" t="s">
        <v>4</v>
      </c>
      <c r="I51" s="27" t="s">
        <v>229</v>
      </c>
      <c r="J51" s="83">
        <v>0.4</v>
      </c>
      <c r="K51" s="83">
        <f t="shared" si="2"/>
        <v>6.4</v>
      </c>
      <c r="L51" s="25">
        <v>0.2</v>
      </c>
      <c r="M51" s="24">
        <f t="shared" si="3"/>
        <v>0.4</v>
      </c>
    </row>
    <row r="52" spans="2:13">
      <c r="B52" s="44">
        <v>50</v>
      </c>
      <c r="C52" s="27" t="s">
        <v>228</v>
      </c>
      <c r="D52" s="27" t="s">
        <v>227</v>
      </c>
      <c r="E52" s="26">
        <v>2</v>
      </c>
      <c r="F52" s="26">
        <v>16</v>
      </c>
      <c r="G52" s="61" t="s">
        <v>121</v>
      </c>
      <c r="H52" s="61" t="s">
        <v>223</v>
      </c>
      <c r="I52" s="27" t="s">
        <v>226</v>
      </c>
      <c r="J52" s="83">
        <v>0.4</v>
      </c>
      <c r="K52" s="83">
        <f t="shared" si="2"/>
        <v>6.4</v>
      </c>
      <c r="L52" s="25">
        <v>0.23</v>
      </c>
      <c r="M52" s="24">
        <f t="shared" si="3"/>
        <v>0.46</v>
      </c>
    </row>
    <row r="53" spans="2:13">
      <c r="B53" s="44">
        <v>51</v>
      </c>
      <c r="C53" s="27" t="s">
        <v>225</v>
      </c>
      <c r="D53" s="27" t="s">
        <v>224</v>
      </c>
      <c r="E53" s="26">
        <v>2</v>
      </c>
      <c r="F53" s="26">
        <v>16</v>
      </c>
      <c r="G53" s="61" t="s">
        <v>121</v>
      </c>
      <c r="H53" s="61" t="s">
        <v>223</v>
      </c>
      <c r="I53" s="27" t="s">
        <v>222</v>
      </c>
      <c r="J53" s="83">
        <v>0.4</v>
      </c>
      <c r="K53" s="83">
        <f t="shared" si="2"/>
        <v>6.4</v>
      </c>
      <c r="L53" s="25">
        <v>0.36</v>
      </c>
      <c r="M53" s="24">
        <f t="shared" si="3"/>
        <v>0.72</v>
      </c>
    </row>
    <row r="54" spans="2:13">
      <c r="B54" s="44">
        <v>52</v>
      </c>
      <c r="C54" s="27" t="s">
        <v>221</v>
      </c>
      <c r="D54" s="27" t="s">
        <v>220</v>
      </c>
      <c r="E54" s="26">
        <v>2</v>
      </c>
      <c r="F54" s="26">
        <v>16</v>
      </c>
      <c r="G54" s="61" t="s">
        <v>219</v>
      </c>
      <c r="H54" s="61" t="s">
        <v>86</v>
      </c>
      <c r="I54" s="27" t="s">
        <v>218</v>
      </c>
      <c r="J54" s="83">
        <v>1.5</v>
      </c>
      <c r="K54" s="83">
        <f t="shared" si="2"/>
        <v>24</v>
      </c>
      <c r="L54" s="25">
        <v>1</v>
      </c>
      <c r="M54" s="24">
        <f t="shared" si="3"/>
        <v>2</v>
      </c>
    </row>
    <row r="55" spans="2:13">
      <c r="B55" s="44">
        <v>53</v>
      </c>
      <c r="C55" s="27" t="s">
        <v>217</v>
      </c>
      <c r="D55" s="27" t="s">
        <v>216</v>
      </c>
      <c r="E55" s="28">
        <v>1</v>
      </c>
      <c r="F55" s="26">
        <v>8</v>
      </c>
      <c r="G55" s="61" t="s">
        <v>148</v>
      </c>
      <c r="H55" s="63" t="s">
        <v>38</v>
      </c>
      <c r="I55" s="27" t="s">
        <v>145</v>
      </c>
      <c r="J55" s="84">
        <v>0.38</v>
      </c>
      <c r="K55" s="83">
        <f t="shared" si="2"/>
        <v>3.04</v>
      </c>
      <c r="L55" s="25">
        <v>0.52</v>
      </c>
      <c r="M55" s="24">
        <f t="shared" si="3"/>
        <v>0.52</v>
      </c>
    </row>
    <row r="56" spans="2:13">
      <c r="B56" s="44"/>
      <c r="C56" s="27" t="s">
        <v>217</v>
      </c>
      <c r="D56" s="27" t="s">
        <v>669</v>
      </c>
      <c r="E56" s="28">
        <v>1</v>
      </c>
      <c r="F56" s="26">
        <v>8</v>
      </c>
      <c r="G56" s="61" t="s">
        <v>148</v>
      </c>
      <c r="H56" s="63" t="s">
        <v>31</v>
      </c>
      <c r="I56" s="27" t="s">
        <v>668</v>
      </c>
      <c r="J56" s="84">
        <v>1.75</v>
      </c>
      <c r="K56" s="83">
        <f t="shared" si="2"/>
        <v>14</v>
      </c>
      <c r="L56" s="25">
        <v>1.1499999999999999</v>
      </c>
      <c r="M56" s="24">
        <f t="shared" si="3"/>
        <v>1.1499999999999999</v>
      </c>
    </row>
    <row r="57" spans="2:13">
      <c r="B57" s="44">
        <v>54</v>
      </c>
      <c r="C57" s="27" t="s">
        <v>633</v>
      </c>
      <c r="D57" s="27" t="s">
        <v>215</v>
      </c>
      <c r="E57" s="28">
        <v>4</v>
      </c>
      <c r="F57" s="26">
        <v>32</v>
      </c>
      <c r="G57" s="61" t="s">
        <v>148</v>
      </c>
      <c r="H57" s="63" t="s">
        <v>38</v>
      </c>
      <c r="I57" s="27" t="s">
        <v>691</v>
      </c>
      <c r="J57" s="84">
        <v>0.32</v>
      </c>
      <c r="K57" s="83">
        <f t="shared" si="2"/>
        <v>10.24</v>
      </c>
      <c r="L57" s="25">
        <v>0.57999999999999996</v>
      </c>
      <c r="M57" s="24">
        <f t="shared" si="3"/>
        <v>2.3199999999999998</v>
      </c>
    </row>
    <row r="58" spans="2:13">
      <c r="B58" s="44">
        <v>55</v>
      </c>
      <c r="C58" s="27" t="s">
        <v>633</v>
      </c>
      <c r="D58" s="27" t="s">
        <v>214</v>
      </c>
      <c r="E58" s="28">
        <v>5</v>
      </c>
      <c r="F58" s="26">
        <v>40</v>
      </c>
      <c r="G58" s="61" t="s">
        <v>148</v>
      </c>
      <c r="H58" s="63" t="s">
        <v>55</v>
      </c>
      <c r="I58" s="27" t="s">
        <v>213</v>
      </c>
      <c r="J58" s="84">
        <v>0.32</v>
      </c>
      <c r="K58" s="83">
        <f t="shared" si="2"/>
        <v>12.8</v>
      </c>
      <c r="L58" s="25">
        <v>0.45</v>
      </c>
      <c r="M58" s="24">
        <f t="shared" si="3"/>
        <v>2.25</v>
      </c>
    </row>
    <row r="59" spans="2:13">
      <c r="B59" s="44">
        <v>56</v>
      </c>
      <c r="C59" s="27" t="s">
        <v>634</v>
      </c>
      <c r="D59" s="27" t="s">
        <v>212</v>
      </c>
      <c r="E59" s="28">
        <v>1</v>
      </c>
      <c r="F59" s="26">
        <v>8</v>
      </c>
      <c r="G59" s="61" t="s">
        <v>148</v>
      </c>
      <c r="H59" s="63" t="s">
        <v>55</v>
      </c>
      <c r="I59" s="27" t="s">
        <v>211</v>
      </c>
      <c r="J59" s="84">
        <v>0.55000000000000004</v>
      </c>
      <c r="K59" s="83">
        <f t="shared" si="2"/>
        <v>4.4000000000000004</v>
      </c>
      <c r="L59" s="25">
        <v>0.81</v>
      </c>
      <c r="M59" s="24">
        <f t="shared" si="3"/>
        <v>0.81</v>
      </c>
    </row>
    <row r="60" spans="2:13">
      <c r="B60" s="44">
        <v>57</v>
      </c>
      <c r="C60" s="27" t="s">
        <v>210</v>
      </c>
      <c r="D60" s="27" t="s">
        <v>209</v>
      </c>
      <c r="E60" s="28">
        <v>2</v>
      </c>
      <c r="F60" s="26">
        <v>16</v>
      </c>
      <c r="G60" s="61" t="s">
        <v>208</v>
      </c>
      <c r="H60" s="63" t="s">
        <v>207</v>
      </c>
      <c r="I60" s="29" t="s">
        <v>206</v>
      </c>
      <c r="J60" s="84">
        <v>6.5</v>
      </c>
      <c r="K60" s="83">
        <f t="shared" si="2"/>
        <v>104</v>
      </c>
      <c r="L60" s="25">
        <v>1.99</v>
      </c>
      <c r="M60" s="24">
        <f t="shared" si="3"/>
        <v>3.98</v>
      </c>
    </row>
    <row r="61" spans="2:13">
      <c r="B61" s="44">
        <v>58</v>
      </c>
      <c r="C61" s="27" t="s">
        <v>635</v>
      </c>
      <c r="D61" s="27" t="s">
        <v>205</v>
      </c>
      <c r="E61" s="28">
        <v>5</v>
      </c>
      <c r="F61" s="26">
        <v>40</v>
      </c>
      <c r="G61" s="61" t="s">
        <v>201</v>
      </c>
      <c r="H61" s="63" t="s">
        <v>200</v>
      </c>
      <c r="I61" s="29" t="s">
        <v>204</v>
      </c>
      <c r="J61" s="84">
        <v>4.25</v>
      </c>
      <c r="K61" s="83">
        <f t="shared" si="2"/>
        <v>170</v>
      </c>
      <c r="L61" s="25">
        <v>4.25</v>
      </c>
      <c r="M61" s="24">
        <f t="shared" si="3"/>
        <v>21.25</v>
      </c>
    </row>
    <row r="62" spans="2:13">
      <c r="B62" s="44">
        <v>59</v>
      </c>
      <c r="C62" s="27" t="s">
        <v>203</v>
      </c>
      <c r="D62" s="27" t="s">
        <v>202</v>
      </c>
      <c r="E62" s="26">
        <v>1</v>
      </c>
      <c r="F62" s="26">
        <v>8</v>
      </c>
      <c r="G62" s="61" t="s">
        <v>201</v>
      </c>
      <c r="H62" s="61" t="s">
        <v>200</v>
      </c>
      <c r="I62" s="27" t="s">
        <v>199</v>
      </c>
      <c r="J62" s="83">
        <v>1.5</v>
      </c>
      <c r="K62" s="83">
        <f t="shared" si="2"/>
        <v>12</v>
      </c>
      <c r="L62" s="25">
        <v>0.99</v>
      </c>
      <c r="M62" s="24">
        <f t="shared" si="3"/>
        <v>0.99</v>
      </c>
    </row>
    <row r="63" spans="2:13">
      <c r="B63" s="44">
        <v>60</v>
      </c>
      <c r="C63" s="27" t="s">
        <v>196</v>
      </c>
      <c r="D63" s="27" t="s">
        <v>198</v>
      </c>
      <c r="E63" s="26">
        <v>1</v>
      </c>
      <c r="F63" s="26">
        <v>8</v>
      </c>
      <c r="G63" s="61" t="s">
        <v>148</v>
      </c>
      <c r="H63" s="61" t="s">
        <v>194</v>
      </c>
      <c r="I63" s="27" t="s">
        <v>197</v>
      </c>
      <c r="J63" s="83">
        <v>0.75</v>
      </c>
      <c r="K63" s="83">
        <f t="shared" si="2"/>
        <v>6</v>
      </c>
      <c r="L63" s="25">
        <v>0.5</v>
      </c>
      <c r="M63" s="24">
        <f t="shared" si="3"/>
        <v>0.5</v>
      </c>
    </row>
    <row r="64" spans="2:13">
      <c r="B64" s="44">
        <v>61</v>
      </c>
      <c r="C64" s="27" t="s">
        <v>196</v>
      </c>
      <c r="D64" s="27" t="s">
        <v>195</v>
      </c>
      <c r="E64" s="26">
        <v>1</v>
      </c>
      <c r="F64" s="26">
        <v>8</v>
      </c>
      <c r="G64" s="61" t="s">
        <v>148</v>
      </c>
      <c r="H64" s="61" t="s">
        <v>194</v>
      </c>
      <c r="I64" s="27" t="s">
        <v>193</v>
      </c>
      <c r="J64" s="83">
        <v>0.75</v>
      </c>
      <c r="K64" s="83">
        <f t="shared" si="2"/>
        <v>6</v>
      </c>
      <c r="L64" s="25">
        <v>0.6</v>
      </c>
      <c r="M64" s="24">
        <f t="shared" si="3"/>
        <v>0.6</v>
      </c>
    </row>
    <row r="65" spans="2:13">
      <c r="B65" s="44">
        <v>62</v>
      </c>
      <c r="C65" s="27" t="s">
        <v>192</v>
      </c>
      <c r="D65" s="27" t="s">
        <v>191</v>
      </c>
      <c r="E65" s="26">
        <v>9</v>
      </c>
      <c r="F65" s="26">
        <v>72</v>
      </c>
      <c r="G65" s="61" t="s">
        <v>148</v>
      </c>
      <c r="H65" s="61" t="s">
        <v>190</v>
      </c>
      <c r="I65" s="27" t="s">
        <v>189</v>
      </c>
      <c r="J65" s="83">
        <v>0.75</v>
      </c>
      <c r="K65" s="83">
        <f t="shared" si="2"/>
        <v>54</v>
      </c>
      <c r="L65" s="25">
        <v>0.5</v>
      </c>
      <c r="M65" s="24">
        <f t="shared" si="3"/>
        <v>4.5</v>
      </c>
    </row>
    <row r="66" spans="2:13">
      <c r="B66" s="44">
        <v>63</v>
      </c>
      <c r="C66" s="27" t="s">
        <v>188</v>
      </c>
      <c r="D66" s="27" t="s">
        <v>187</v>
      </c>
      <c r="E66" s="26">
        <v>12</v>
      </c>
      <c r="F66" s="26">
        <v>96</v>
      </c>
      <c r="G66" s="61" t="s">
        <v>186</v>
      </c>
      <c r="H66" s="61" t="s">
        <v>185</v>
      </c>
      <c r="I66" s="27" t="s">
        <v>184</v>
      </c>
      <c r="J66" s="83">
        <v>0.5</v>
      </c>
      <c r="K66" s="83">
        <f t="shared" si="2"/>
        <v>48</v>
      </c>
      <c r="L66" s="25">
        <v>0.25</v>
      </c>
      <c r="M66" s="24">
        <f t="shared" si="3"/>
        <v>3</v>
      </c>
    </row>
    <row r="67" spans="2:13">
      <c r="B67" s="44">
        <v>64</v>
      </c>
      <c r="C67" s="27" t="s">
        <v>183</v>
      </c>
      <c r="D67" s="27" t="s">
        <v>182</v>
      </c>
      <c r="E67" s="26">
        <v>4</v>
      </c>
      <c r="F67" s="26">
        <v>32</v>
      </c>
      <c r="G67" s="61" t="s">
        <v>148</v>
      </c>
      <c r="H67" s="61" t="s">
        <v>18</v>
      </c>
      <c r="I67" s="27" t="s">
        <v>71</v>
      </c>
      <c r="J67" s="83">
        <v>0.54</v>
      </c>
      <c r="K67" s="83">
        <f t="shared" ref="K67:K82" si="4">J67*F67</f>
        <v>17.28</v>
      </c>
      <c r="L67" s="25">
        <v>0.54</v>
      </c>
      <c r="M67" s="24">
        <f t="shared" ref="M67:M79" si="5">L67*E67</f>
        <v>2.16</v>
      </c>
    </row>
    <row r="68" spans="2:13">
      <c r="B68" s="44">
        <v>65</v>
      </c>
      <c r="C68" s="27" t="s">
        <v>181</v>
      </c>
      <c r="D68" s="27" t="s">
        <v>180</v>
      </c>
      <c r="E68" s="26">
        <v>1</v>
      </c>
      <c r="F68" s="26">
        <v>8</v>
      </c>
      <c r="G68" s="61" t="s">
        <v>148</v>
      </c>
      <c r="H68" s="61" t="s">
        <v>179</v>
      </c>
      <c r="I68" s="27" t="s">
        <v>178</v>
      </c>
      <c r="J68" s="83">
        <v>0.15</v>
      </c>
      <c r="K68" s="83">
        <f t="shared" si="4"/>
        <v>1.2</v>
      </c>
      <c r="L68" s="25">
        <v>8.3000000000000004E-2</v>
      </c>
      <c r="M68" s="24">
        <f t="shared" si="5"/>
        <v>8.3000000000000004E-2</v>
      </c>
    </row>
    <row r="69" spans="2:13">
      <c r="B69" s="44">
        <v>66</v>
      </c>
      <c r="C69" s="27" t="s">
        <v>177</v>
      </c>
      <c r="D69" s="27" t="s">
        <v>176</v>
      </c>
      <c r="E69" s="26">
        <v>6</v>
      </c>
      <c r="F69" s="26">
        <v>48</v>
      </c>
      <c r="G69" s="61" t="s">
        <v>148</v>
      </c>
      <c r="H69" s="61" t="s">
        <v>526</v>
      </c>
      <c r="I69" s="27" t="s">
        <v>19</v>
      </c>
      <c r="J69" s="83">
        <v>0.02</v>
      </c>
      <c r="K69" s="83">
        <f t="shared" si="4"/>
        <v>0.96</v>
      </c>
      <c r="L69" s="25">
        <v>0.06</v>
      </c>
      <c r="M69" s="24">
        <f t="shared" si="5"/>
        <v>0.36</v>
      </c>
    </row>
    <row r="70" spans="2:13">
      <c r="B70" s="44">
        <v>67</v>
      </c>
      <c r="C70" s="27" t="s">
        <v>115</v>
      </c>
      <c r="D70" s="27" t="s">
        <v>175</v>
      </c>
      <c r="E70" s="26">
        <v>2</v>
      </c>
      <c r="F70" s="26">
        <v>16</v>
      </c>
      <c r="G70" s="61" t="s">
        <v>143</v>
      </c>
      <c r="H70" s="61" t="s">
        <v>117</v>
      </c>
      <c r="I70" s="27" t="s">
        <v>174</v>
      </c>
      <c r="J70" s="83">
        <v>2.65</v>
      </c>
      <c r="K70" s="83">
        <f t="shared" si="4"/>
        <v>42.4</v>
      </c>
      <c r="L70" s="25">
        <v>1.36</v>
      </c>
      <c r="M70" s="24">
        <f t="shared" si="5"/>
        <v>2.72</v>
      </c>
    </row>
    <row r="71" spans="2:13">
      <c r="B71" s="44">
        <v>68</v>
      </c>
      <c r="C71" s="27" t="s">
        <v>115</v>
      </c>
      <c r="D71" s="27" t="s">
        <v>173</v>
      </c>
      <c r="E71" s="26">
        <v>6</v>
      </c>
      <c r="F71" s="26">
        <v>48</v>
      </c>
      <c r="G71" s="61" t="s">
        <v>143</v>
      </c>
      <c r="H71" s="61" t="s">
        <v>117</v>
      </c>
      <c r="I71" s="27" t="s">
        <v>172</v>
      </c>
      <c r="J71" s="83">
        <v>2.35</v>
      </c>
      <c r="K71" s="83">
        <f t="shared" si="4"/>
        <v>112.80000000000001</v>
      </c>
      <c r="L71" s="25">
        <v>1.36</v>
      </c>
      <c r="M71" s="24">
        <f t="shared" si="5"/>
        <v>8.16</v>
      </c>
    </row>
    <row r="72" spans="2:13">
      <c r="B72" s="44">
        <v>69</v>
      </c>
      <c r="C72" s="27" t="s">
        <v>115</v>
      </c>
      <c r="D72" s="27" t="s">
        <v>171</v>
      </c>
      <c r="E72" s="26">
        <v>2</v>
      </c>
      <c r="F72" s="26">
        <v>16</v>
      </c>
      <c r="G72" s="61" t="s">
        <v>143</v>
      </c>
      <c r="H72" s="61" t="s">
        <v>117</v>
      </c>
      <c r="I72" s="27" t="s">
        <v>170</v>
      </c>
      <c r="J72" s="83">
        <v>0.9</v>
      </c>
      <c r="K72" s="83">
        <f t="shared" si="4"/>
        <v>14.4</v>
      </c>
      <c r="L72" s="25">
        <v>0.76</v>
      </c>
      <c r="M72" s="24">
        <f t="shared" si="5"/>
        <v>1.52</v>
      </c>
    </row>
    <row r="73" spans="2:13">
      <c r="B73" s="44">
        <v>70</v>
      </c>
      <c r="C73" s="27" t="s">
        <v>115</v>
      </c>
      <c r="D73" s="27" t="s">
        <v>169</v>
      </c>
      <c r="E73" s="26">
        <v>1</v>
      </c>
      <c r="F73" s="26">
        <v>8</v>
      </c>
      <c r="G73" s="61" t="s">
        <v>143</v>
      </c>
      <c r="H73" s="61" t="s">
        <v>117</v>
      </c>
      <c r="I73" s="27" t="s">
        <v>168</v>
      </c>
      <c r="J73" s="83">
        <v>0.9</v>
      </c>
      <c r="K73" s="83">
        <f t="shared" si="4"/>
        <v>7.2</v>
      </c>
      <c r="L73" s="25">
        <v>0.76</v>
      </c>
      <c r="M73" s="24">
        <f t="shared" si="5"/>
        <v>0.76</v>
      </c>
    </row>
    <row r="74" spans="2:13">
      <c r="B74" s="44">
        <v>71</v>
      </c>
      <c r="C74" s="27" t="s">
        <v>167</v>
      </c>
      <c r="D74" s="27" t="s">
        <v>166</v>
      </c>
      <c r="E74" s="26">
        <v>2</v>
      </c>
      <c r="F74" s="26">
        <v>16</v>
      </c>
      <c r="G74" s="61" t="s">
        <v>148</v>
      </c>
      <c r="H74" s="61" t="s">
        <v>165</v>
      </c>
      <c r="I74" s="27" t="s">
        <v>164</v>
      </c>
      <c r="J74" s="83">
        <v>0.3</v>
      </c>
      <c r="K74" s="83">
        <f t="shared" si="4"/>
        <v>4.8</v>
      </c>
      <c r="L74" s="25">
        <v>0.43</v>
      </c>
      <c r="M74" s="24">
        <f t="shared" si="5"/>
        <v>0.86</v>
      </c>
    </row>
    <row r="75" spans="2:13">
      <c r="B75" s="44">
        <v>72</v>
      </c>
      <c r="C75" s="27" t="s">
        <v>163</v>
      </c>
      <c r="D75" s="27" t="s">
        <v>162</v>
      </c>
      <c r="E75" s="26">
        <v>5</v>
      </c>
      <c r="F75" s="26">
        <v>40</v>
      </c>
      <c r="G75" s="61" t="s">
        <v>148</v>
      </c>
      <c r="H75" s="61" t="s">
        <v>158</v>
      </c>
      <c r="I75" s="27" t="s">
        <v>161</v>
      </c>
      <c r="J75" s="83">
        <v>0.25</v>
      </c>
      <c r="K75" s="83">
        <f t="shared" si="4"/>
        <v>10</v>
      </c>
      <c r="L75" s="25">
        <v>0.05</v>
      </c>
      <c r="M75" s="24">
        <f t="shared" si="5"/>
        <v>0.25</v>
      </c>
    </row>
    <row r="76" spans="2:13">
      <c r="B76" s="44">
        <v>73</v>
      </c>
      <c r="C76" s="27" t="s">
        <v>160</v>
      </c>
      <c r="D76" s="27" t="s">
        <v>159</v>
      </c>
      <c r="E76" s="26">
        <v>3</v>
      </c>
      <c r="F76" s="26">
        <v>24</v>
      </c>
      <c r="G76" s="61" t="s">
        <v>148</v>
      </c>
      <c r="H76" s="61" t="s">
        <v>158</v>
      </c>
      <c r="I76" s="27" t="s">
        <v>157</v>
      </c>
      <c r="J76" s="83">
        <v>0.25</v>
      </c>
      <c r="K76" s="83">
        <f t="shared" si="4"/>
        <v>6</v>
      </c>
      <c r="L76" s="25">
        <v>0.05</v>
      </c>
      <c r="M76" s="24">
        <f t="shared" si="5"/>
        <v>0.15000000000000002</v>
      </c>
    </row>
    <row r="77" spans="2:13" ht="15.75" customHeight="1">
      <c r="B77" s="44">
        <v>74</v>
      </c>
      <c r="C77" s="27" t="s">
        <v>61</v>
      </c>
      <c r="D77" s="27" t="s">
        <v>156</v>
      </c>
      <c r="E77" s="26">
        <v>2</v>
      </c>
      <c r="F77" s="26">
        <v>16</v>
      </c>
      <c r="G77" s="61" t="s">
        <v>121</v>
      </c>
      <c r="H77" s="61" t="s">
        <v>28</v>
      </c>
      <c r="I77" s="27" t="s">
        <v>155</v>
      </c>
      <c r="J77" s="83">
        <v>2.4500000000000002</v>
      </c>
      <c r="K77" s="83">
        <f t="shared" si="4"/>
        <v>39.200000000000003</v>
      </c>
      <c r="L77" s="25">
        <v>1.58</v>
      </c>
      <c r="M77" s="24">
        <f t="shared" si="5"/>
        <v>3.16</v>
      </c>
    </row>
    <row r="78" spans="2:13">
      <c r="B78" s="44">
        <v>75</v>
      </c>
      <c r="C78" s="27" t="s">
        <v>34</v>
      </c>
      <c r="D78" s="27" t="s">
        <v>154</v>
      </c>
      <c r="E78" s="26">
        <v>3</v>
      </c>
      <c r="F78" s="26">
        <v>24</v>
      </c>
      <c r="G78" s="61" t="s">
        <v>148</v>
      </c>
      <c r="H78" s="61" t="s">
        <v>28</v>
      </c>
      <c r="I78" s="27" t="s">
        <v>153</v>
      </c>
      <c r="J78" s="83">
        <v>0.78</v>
      </c>
      <c r="K78" s="83">
        <f t="shared" si="4"/>
        <v>18.72</v>
      </c>
      <c r="L78" s="25">
        <v>0.76</v>
      </c>
      <c r="M78" s="24">
        <f t="shared" si="5"/>
        <v>2.2800000000000002</v>
      </c>
    </row>
    <row r="79" spans="2:13">
      <c r="B79" s="44">
        <v>76</v>
      </c>
      <c r="C79" s="27" t="s">
        <v>59</v>
      </c>
      <c r="D79" s="27" t="s">
        <v>152</v>
      </c>
      <c r="E79" s="26">
        <v>1</v>
      </c>
      <c r="F79" s="26">
        <v>8</v>
      </c>
      <c r="G79" s="61" t="s">
        <v>148</v>
      </c>
      <c r="H79" s="61" t="s">
        <v>28</v>
      </c>
      <c r="I79" s="27" t="s">
        <v>151</v>
      </c>
      <c r="J79" s="83">
        <v>0.95</v>
      </c>
      <c r="K79" s="83">
        <f t="shared" si="4"/>
        <v>7.6</v>
      </c>
      <c r="L79" s="25">
        <v>1.1299999999999999</v>
      </c>
      <c r="M79" s="24">
        <f t="shared" si="5"/>
        <v>1.1299999999999999</v>
      </c>
    </row>
    <row r="80" spans="2:13">
      <c r="B80" s="44">
        <v>77</v>
      </c>
      <c r="C80" s="27" t="s">
        <v>150</v>
      </c>
      <c r="D80" s="27" t="s">
        <v>149</v>
      </c>
      <c r="E80" s="26">
        <v>1</v>
      </c>
      <c r="F80" s="26">
        <v>8</v>
      </c>
      <c r="G80" s="61" t="s">
        <v>148</v>
      </c>
      <c r="H80" s="61" t="s">
        <v>28</v>
      </c>
      <c r="I80" s="27" t="s">
        <v>147</v>
      </c>
      <c r="J80" s="83">
        <v>1.93</v>
      </c>
      <c r="K80" s="83">
        <f t="shared" si="4"/>
        <v>15.44</v>
      </c>
      <c r="L80" s="25">
        <v>2.7</v>
      </c>
      <c r="M80" s="24">
        <v>2.7</v>
      </c>
    </row>
    <row r="81" spans="2:13">
      <c r="B81" s="44">
        <v>78</v>
      </c>
      <c r="C81" s="1" t="s">
        <v>527</v>
      </c>
      <c r="D81" s="1"/>
      <c r="E81" s="14">
        <v>1</v>
      </c>
      <c r="F81" s="26">
        <v>8</v>
      </c>
      <c r="G81" s="37" t="s">
        <v>524</v>
      </c>
      <c r="H81" s="4" t="s">
        <v>525</v>
      </c>
      <c r="I81" s="1" t="s">
        <v>527</v>
      </c>
      <c r="J81" s="80">
        <v>0</v>
      </c>
      <c r="K81" s="83">
        <f t="shared" si="4"/>
        <v>0</v>
      </c>
      <c r="L81" s="25">
        <v>3.89</v>
      </c>
      <c r="M81" s="24">
        <f>L81*E81</f>
        <v>3.89</v>
      </c>
    </row>
    <row r="82" spans="2:13">
      <c r="B82" s="44">
        <v>79</v>
      </c>
      <c r="C82" s="41" t="s">
        <v>619</v>
      </c>
      <c r="D82" s="42"/>
      <c r="E82" s="14">
        <v>1</v>
      </c>
      <c r="F82" s="26">
        <v>8</v>
      </c>
      <c r="G82" s="37" t="s">
        <v>524</v>
      </c>
      <c r="H82" s="4" t="s">
        <v>525</v>
      </c>
      <c r="I82" s="41" t="s">
        <v>619</v>
      </c>
      <c r="J82" s="80">
        <v>0</v>
      </c>
      <c r="K82" s="83">
        <f t="shared" si="4"/>
        <v>0</v>
      </c>
      <c r="L82" s="25">
        <v>4.5</v>
      </c>
      <c r="M82" s="24">
        <f>L82*E82</f>
        <v>4.5</v>
      </c>
    </row>
    <row r="83" spans="2:13">
      <c r="K83" s="81">
        <f>SUM(K3:K82)</f>
        <v>923.52000000000021</v>
      </c>
      <c r="M83" s="43">
        <f>SUM(M3:M74)</f>
        <v>73.369699999999995</v>
      </c>
    </row>
    <row r="84" spans="2:13">
      <c r="M84" s="77">
        <f>L81+M56</f>
        <v>5.04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82"/>
  <sheetViews>
    <sheetView workbookViewId="0">
      <selection activeCell="D23" sqref="D23"/>
    </sheetView>
  </sheetViews>
  <sheetFormatPr defaultRowHeight="15"/>
  <cols>
    <col min="1" max="1" width="3.7109375" style="7" customWidth="1"/>
    <col min="2" max="2" width="14" customWidth="1"/>
    <col min="3" max="3" width="24" style="7" customWidth="1"/>
    <col min="4" max="4" width="60.7109375" style="7" customWidth="1"/>
    <col min="5" max="5" width="2" style="9" customWidth="1"/>
    <col min="6" max="6" width="1.85546875" style="7" customWidth="1"/>
    <col min="7" max="7" width="16.28515625" style="7" customWidth="1"/>
    <col min="8" max="8" width="5.140625" style="9" customWidth="1"/>
    <col min="9" max="9" width="12" style="23" customWidth="1"/>
    <col min="10" max="16384" width="9.140625" style="7"/>
  </cols>
  <sheetData>
    <row r="1" spans="2:10" ht="15" customHeight="1"/>
    <row r="2" spans="2:10" ht="30" customHeight="1">
      <c r="B2" s="10" t="s">
        <v>591</v>
      </c>
      <c r="C2" s="10" t="s">
        <v>132</v>
      </c>
      <c r="D2" s="10" t="s">
        <v>133</v>
      </c>
      <c r="E2" s="10" t="s">
        <v>134</v>
      </c>
      <c r="F2" s="10" t="s">
        <v>366</v>
      </c>
      <c r="G2" s="10" t="s">
        <v>135</v>
      </c>
      <c r="H2" s="10" t="s">
        <v>136</v>
      </c>
      <c r="I2" s="36" t="s">
        <v>137</v>
      </c>
      <c r="J2" s="36" t="s">
        <v>138</v>
      </c>
    </row>
    <row r="3" spans="2:10" ht="15" customHeight="1">
      <c r="B3" s="44">
        <v>1</v>
      </c>
      <c r="C3" s="11" t="s">
        <v>367</v>
      </c>
      <c r="D3" s="11" t="s">
        <v>368</v>
      </c>
      <c r="E3" s="37" t="s">
        <v>121</v>
      </c>
      <c r="F3" s="37" t="s">
        <v>24</v>
      </c>
      <c r="G3" s="11" t="s">
        <v>369</v>
      </c>
      <c r="H3" s="14">
        <v>12</v>
      </c>
      <c r="I3" s="52" t="s">
        <v>140</v>
      </c>
      <c r="J3" s="53">
        <f>I3*H3</f>
        <v>4.8000000000000001E-2</v>
      </c>
    </row>
    <row r="4" spans="2:10" ht="15" customHeight="1">
      <c r="B4" s="44">
        <v>2</v>
      </c>
      <c r="C4" s="11" t="s">
        <v>110</v>
      </c>
      <c r="D4" s="11" t="s">
        <v>370</v>
      </c>
      <c r="E4" s="37" t="s">
        <v>121</v>
      </c>
      <c r="F4" s="37" t="s">
        <v>24</v>
      </c>
      <c r="G4" s="11" t="s">
        <v>114</v>
      </c>
      <c r="H4" s="14">
        <v>5</v>
      </c>
      <c r="I4" s="52" t="s">
        <v>140</v>
      </c>
      <c r="J4" s="53">
        <f>I4*H4</f>
        <v>0.02</v>
      </c>
    </row>
    <row r="5" spans="2:10" ht="15" customHeight="1">
      <c r="B5" s="44">
        <v>3</v>
      </c>
      <c r="C5" s="11" t="s">
        <v>113</v>
      </c>
      <c r="D5" s="11" t="s">
        <v>371</v>
      </c>
      <c r="E5" s="37" t="s">
        <v>121</v>
      </c>
      <c r="F5" s="37" t="s">
        <v>24</v>
      </c>
      <c r="G5" s="11" t="s">
        <v>372</v>
      </c>
      <c r="H5" s="14">
        <v>16</v>
      </c>
      <c r="I5" s="52" t="s">
        <v>140</v>
      </c>
      <c r="J5" s="53">
        <f>I5*H5</f>
        <v>6.4000000000000001E-2</v>
      </c>
    </row>
    <row r="6" spans="2:10" ht="15" customHeight="1">
      <c r="B6" s="44">
        <v>4</v>
      </c>
      <c r="C6" s="11" t="s">
        <v>102</v>
      </c>
      <c r="D6" s="11" t="s">
        <v>373</v>
      </c>
      <c r="E6" s="37" t="s">
        <v>121</v>
      </c>
      <c r="F6" s="37" t="s">
        <v>24</v>
      </c>
      <c r="G6" s="11" t="s">
        <v>372</v>
      </c>
      <c r="H6" s="14">
        <v>12</v>
      </c>
      <c r="I6" s="52" t="s">
        <v>140</v>
      </c>
      <c r="J6" s="53">
        <f t="shared" ref="J6:J21" si="0">I6*H6</f>
        <v>4.8000000000000001E-2</v>
      </c>
    </row>
    <row r="7" spans="2:10" ht="15" customHeight="1">
      <c r="B7" s="44">
        <v>5</v>
      </c>
      <c r="C7" s="11" t="s">
        <v>374</v>
      </c>
      <c r="D7" s="11" t="s">
        <v>375</v>
      </c>
      <c r="E7" s="37" t="s">
        <v>121</v>
      </c>
      <c r="F7" s="37" t="s">
        <v>24</v>
      </c>
      <c r="G7" s="11" t="s">
        <v>376</v>
      </c>
      <c r="H7" s="14">
        <v>2</v>
      </c>
      <c r="I7" s="52" t="s">
        <v>146</v>
      </c>
      <c r="J7" s="53">
        <f t="shared" si="0"/>
        <v>0.04</v>
      </c>
    </row>
    <row r="8" spans="2:10" ht="15" customHeight="1">
      <c r="B8" s="44">
        <v>6</v>
      </c>
      <c r="C8" s="11" t="s">
        <v>377</v>
      </c>
      <c r="D8" s="11" t="s">
        <v>378</v>
      </c>
      <c r="E8" s="37" t="s">
        <v>121</v>
      </c>
      <c r="F8" s="37" t="s">
        <v>120</v>
      </c>
      <c r="G8" s="11" t="s">
        <v>120</v>
      </c>
      <c r="H8" s="14">
        <v>2</v>
      </c>
      <c r="I8" s="52" t="s">
        <v>379</v>
      </c>
      <c r="J8" s="53">
        <f t="shared" si="0"/>
        <v>0.12</v>
      </c>
    </row>
    <row r="9" spans="2:10" ht="80.099999999999994" customHeight="1">
      <c r="B9" s="44">
        <v>7</v>
      </c>
      <c r="C9" s="11" t="s">
        <v>380</v>
      </c>
      <c r="D9" s="38" t="s">
        <v>381</v>
      </c>
      <c r="E9" s="37" t="s">
        <v>121</v>
      </c>
      <c r="F9" s="37" t="s">
        <v>130</v>
      </c>
      <c r="G9" s="11" t="s">
        <v>382</v>
      </c>
      <c r="H9" s="14">
        <v>96</v>
      </c>
      <c r="I9" s="52" t="s">
        <v>146</v>
      </c>
      <c r="J9" s="53">
        <f t="shared" si="0"/>
        <v>1.92</v>
      </c>
    </row>
    <row r="10" spans="2:10" ht="45" customHeight="1">
      <c r="B10" s="44">
        <v>8</v>
      </c>
      <c r="C10" s="11" t="s">
        <v>383</v>
      </c>
      <c r="D10" s="38" t="s">
        <v>384</v>
      </c>
      <c r="E10" s="37" t="s">
        <v>121</v>
      </c>
      <c r="F10" s="37" t="s">
        <v>130</v>
      </c>
      <c r="G10" s="11" t="s">
        <v>385</v>
      </c>
      <c r="H10" s="14">
        <v>32</v>
      </c>
      <c r="I10" s="52" t="s">
        <v>386</v>
      </c>
      <c r="J10" s="53">
        <f t="shared" si="0"/>
        <v>1.056</v>
      </c>
    </row>
    <row r="11" spans="2:10" ht="15" customHeight="1">
      <c r="B11" s="44">
        <v>11</v>
      </c>
      <c r="C11" s="11" t="s">
        <v>632</v>
      </c>
      <c r="D11" s="11" t="s">
        <v>390</v>
      </c>
      <c r="E11" s="37" t="s">
        <v>121</v>
      </c>
      <c r="F11" s="37" t="s">
        <v>38</v>
      </c>
      <c r="G11" s="11" t="s">
        <v>391</v>
      </c>
      <c r="H11" s="14">
        <v>1</v>
      </c>
      <c r="I11" s="52" t="s">
        <v>392</v>
      </c>
      <c r="J11" s="53">
        <f t="shared" si="0"/>
        <v>0.9</v>
      </c>
    </row>
    <row r="12" spans="2:10" ht="15" customHeight="1">
      <c r="B12" s="44">
        <v>12</v>
      </c>
      <c r="C12" s="11" t="s">
        <v>393</v>
      </c>
      <c r="D12" s="11" t="s">
        <v>394</v>
      </c>
      <c r="E12" s="37" t="s">
        <v>395</v>
      </c>
      <c r="F12" s="37" t="s">
        <v>395</v>
      </c>
      <c r="G12" s="11" t="s">
        <v>569</v>
      </c>
      <c r="H12" s="14">
        <v>1</v>
      </c>
      <c r="I12" s="52" t="s">
        <v>396</v>
      </c>
      <c r="J12" s="53">
        <f t="shared" si="0"/>
        <v>8.9</v>
      </c>
    </row>
    <row r="13" spans="2:10" ht="15" customHeight="1">
      <c r="B13" s="44">
        <v>13</v>
      </c>
      <c r="C13" s="11" t="s">
        <v>397</v>
      </c>
      <c r="D13" s="11" t="s">
        <v>398</v>
      </c>
      <c r="E13" s="37" t="s">
        <v>121</v>
      </c>
      <c r="F13" s="37" t="s">
        <v>38</v>
      </c>
      <c r="G13" s="11" t="s">
        <v>399</v>
      </c>
      <c r="H13" s="14">
        <v>2</v>
      </c>
      <c r="I13" s="52" t="s">
        <v>400</v>
      </c>
      <c r="J13" s="53">
        <f t="shared" si="0"/>
        <v>0.84</v>
      </c>
    </row>
    <row r="14" spans="2:10" ht="15" customHeight="1">
      <c r="B14" s="44">
        <v>14</v>
      </c>
      <c r="C14" s="11" t="s">
        <v>217</v>
      </c>
      <c r="D14" s="11" t="s">
        <v>401</v>
      </c>
      <c r="E14" s="37" t="s">
        <v>121</v>
      </c>
      <c r="F14" s="37" t="s">
        <v>38</v>
      </c>
      <c r="G14" s="11" t="s">
        <v>570</v>
      </c>
      <c r="H14" s="14">
        <v>10</v>
      </c>
      <c r="I14" s="52" t="s">
        <v>571</v>
      </c>
      <c r="J14" s="53">
        <f t="shared" si="0"/>
        <v>1.6500000000000001</v>
      </c>
    </row>
    <row r="15" spans="2:10" ht="15" customHeight="1">
      <c r="B15" s="44">
        <v>15</v>
      </c>
      <c r="C15" s="11" t="s">
        <v>402</v>
      </c>
      <c r="D15" s="11" t="s">
        <v>403</v>
      </c>
      <c r="E15" s="37" t="s">
        <v>121</v>
      </c>
      <c r="F15" s="37" t="s">
        <v>38</v>
      </c>
      <c r="G15" s="11" t="s">
        <v>404</v>
      </c>
      <c r="H15" s="14">
        <v>14</v>
      </c>
      <c r="I15" s="52" t="s">
        <v>405</v>
      </c>
      <c r="J15" s="53">
        <f t="shared" si="0"/>
        <v>1.9600000000000002</v>
      </c>
    </row>
    <row r="16" spans="2:10" ht="15" customHeight="1">
      <c r="B16" s="44">
        <v>16</v>
      </c>
      <c r="C16" s="11" t="s">
        <v>397</v>
      </c>
      <c r="D16" s="11" t="s">
        <v>406</v>
      </c>
      <c r="E16" s="37" t="s">
        <v>121</v>
      </c>
      <c r="F16" s="37" t="s">
        <v>38</v>
      </c>
      <c r="G16" s="11" t="s">
        <v>407</v>
      </c>
      <c r="H16" s="14">
        <v>7</v>
      </c>
      <c r="I16" s="52" t="s">
        <v>56</v>
      </c>
      <c r="J16" s="53">
        <f t="shared" si="0"/>
        <v>1.26</v>
      </c>
    </row>
    <row r="17" spans="2:10" ht="15" customHeight="1">
      <c r="B17" s="44">
        <v>10</v>
      </c>
      <c r="C17" s="11" t="s">
        <v>651</v>
      </c>
      <c r="D17" s="11" t="s">
        <v>388</v>
      </c>
      <c r="E17" s="37" t="s">
        <v>121</v>
      </c>
      <c r="F17" s="37" t="s">
        <v>28</v>
      </c>
      <c r="G17" s="11" t="s">
        <v>389</v>
      </c>
      <c r="H17" s="14">
        <v>2</v>
      </c>
      <c r="I17" s="52">
        <v>1.48</v>
      </c>
      <c r="J17" s="53">
        <f>I17*H17</f>
        <v>2.96</v>
      </c>
    </row>
    <row r="18" spans="2:10" ht="15" customHeight="1">
      <c r="B18" s="44">
        <v>17</v>
      </c>
      <c r="C18" s="11" t="s">
        <v>652</v>
      </c>
      <c r="D18" s="11" t="s">
        <v>58</v>
      </c>
      <c r="E18" s="37" t="s">
        <v>121</v>
      </c>
      <c r="F18" s="37" t="s">
        <v>28</v>
      </c>
      <c r="G18" s="11" t="s">
        <v>649</v>
      </c>
      <c r="H18" s="14">
        <v>3</v>
      </c>
      <c r="I18" s="52">
        <v>1.37</v>
      </c>
      <c r="J18" s="53">
        <f t="shared" si="0"/>
        <v>4.1100000000000003</v>
      </c>
    </row>
    <row r="19" spans="2:10" ht="15" customHeight="1">
      <c r="B19" s="44">
        <v>9</v>
      </c>
      <c r="C19" s="11" t="s">
        <v>650</v>
      </c>
      <c r="D19" s="11" t="s">
        <v>387</v>
      </c>
      <c r="E19" s="37" t="s">
        <v>655</v>
      </c>
      <c r="F19" s="37" t="s">
        <v>86</v>
      </c>
      <c r="G19" s="11" t="s">
        <v>86</v>
      </c>
      <c r="H19" s="14">
        <v>4</v>
      </c>
      <c r="I19" s="52">
        <v>0.21</v>
      </c>
      <c r="J19" s="53">
        <f>I19*H19</f>
        <v>0.84</v>
      </c>
    </row>
    <row r="20" spans="2:10" customFormat="1">
      <c r="B20" s="44">
        <v>18</v>
      </c>
      <c r="C20" s="18" t="s">
        <v>529</v>
      </c>
      <c r="D20" s="18" t="s">
        <v>551</v>
      </c>
      <c r="E20" s="37" t="s">
        <v>524</v>
      </c>
      <c r="F20" s="37" t="s">
        <v>525</v>
      </c>
      <c r="G20" s="18" t="s">
        <v>529</v>
      </c>
      <c r="H20" s="37">
        <v>1</v>
      </c>
      <c r="I20" s="15">
        <v>4.8</v>
      </c>
      <c r="J20" s="53">
        <f t="shared" si="0"/>
        <v>4.8</v>
      </c>
    </row>
    <row r="21" spans="2:10" customFormat="1">
      <c r="B21" s="44">
        <v>19</v>
      </c>
      <c r="C21" s="54" t="s">
        <v>530</v>
      </c>
      <c r="D21" s="59" t="s">
        <v>551</v>
      </c>
      <c r="E21" s="37" t="s">
        <v>524</v>
      </c>
      <c r="F21" s="37" t="s">
        <v>525</v>
      </c>
      <c r="G21" s="54" t="s">
        <v>530</v>
      </c>
      <c r="H21" s="55">
        <v>1</v>
      </c>
      <c r="I21" s="15">
        <v>7</v>
      </c>
      <c r="J21" s="53">
        <f t="shared" si="0"/>
        <v>7</v>
      </c>
    </row>
    <row r="22" spans="2:10" ht="15" customHeight="1">
      <c r="D22" s="7" t="s">
        <v>139</v>
      </c>
      <c r="J22" s="58">
        <f>SUM(J3:J21)</f>
        <v>38.536000000000001</v>
      </c>
    </row>
    <row r="23" spans="2:10" ht="15" customHeight="1"/>
    <row r="24" spans="2:10" ht="15" customHeight="1"/>
    <row r="25" spans="2:10" ht="15" customHeight="1"/>
    <row r="26" spans="2:10" ht="15" customHeight="1"/>
    <row r="27" spans="2:10" ht="15" customHeight="1"/>
    <row r="28" spans="2:10" ht="15" customHeight="1"/>
    <row r="29" spans="2:10" ht="15" customHeight="1"/>
    <row r="30" spans="2:10" ht="15" customHeight="1">
      <c r="B30" t="s">
        <v>660</v>
      </c>
      <c r="C30" s="75">
        <v>1350</v>
      </c>
    </row>
    <row r="31" spans="2:10" ht="15" customHeight="1">
      <c r="B31" t="s">
        <v>661</v>
      </c>
      <c r="C31" s="75">
        <v>1900</v>
      </c>
    </row>
    <row r="32" spans="2:10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</sheetData>
  <pageMargins left="0.7" right="0.7" top="0.75" bottom="0.75" header="0.3" footer="0.3"/>
  <pageSetup fitToWidth="0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0"/>
  <sheetViews>
    <sheetView workbookViewId="0">
      <selection activeCell="C2" sqref="C2:H16"/>
    </sheetView>
  </sheetViews>
  <sheetFormatPr defaultRowHeight="15"/>
  <cols>
    <col min="1" max="1" width="3.7109375" customWidth="1"/>
    <col min="2" max="2" width="12" customWidth="1"/>
    <col min="3" max="3" width="21.5703125" customWidth="1"/>
    <col min="4" max="4" width="23.28515625" customWidth="1"/>
    <col min="5" max="6" width="12" customWidth="1"/>
    <col min="7" max="7" width="16.140625" customWidth="1"/>
    <col min="8" max="8" width="23.140625" customWidth="1"/>
    <col min="9" max="10" width="12" customWidth="1"/>
    <col min="12" max="12" width="9.42578125" bestFit="1" customWidth="1"/>
  </cols>
  <sheetData>
    <row r="2" spans="2:12" ht="30" customHeight="1">
      <c r="B2" s="10" t="s">
        <v>591</v>
      </c>
      <c r="C2" s="10" t="s">
        <v>132</v>
      </c>
      <c r="D2" s="10" t="s">
        <v>133</v>
      </c>
      <c r="E2" s="10" t="s">
        <v>136</v>
      </c>
      <c r="F2" s="10" t="s">
        <v>134</v>
      </c>
      <c r="G2" s="10" t="s">
        <v>366</v>
      </c>
      <c r="H2" s="10" t="s">
        <v>135</v>
      </c>
      <c r="I2" s="10" t="s">
        <v>677</v>
      </c>
      <c r="J2" s="10" t="s">
        <v>688</v>
      </c>
      <c r="K2" s="36" t="s">
        <v>137</v>
      </c>
      <c r="L2" s="36" t="s">
        <v>138</v>
      </c>
    </row>
    <row r="3" spans="2:12">
      <c r="B3" s="4">
        <v>1</v>
      </c>
      <c r="C3" s="1" t="s">
        <v>702</v>
      </c>
      <c r="D3" s="1" t="s">
        <v>601</v>
      </c>
      <c r="E3" s="2">
        <v>4</v>
      </c>
      <c r="F3" s="4" t="s">
        <v>148</v>
      </c>
      <c r="G3" s="4" t="s">
        <v>86</v>
      </c>
      <c r="H3" s="1" t="s">
        <v>126</v>
      </c>
      <c r="I3" s="85">
        <v>0.02</v>
      </c>
      <c r="J3" s="85">
        <f t="shared" ref="J3:J18" si="0">I3*E3</f>
        <v>0.08</v>
      </c>
      <c r="K3" s="70" t="s">
        <v>20</v>
      </c>
      <c r="L3" s="50">
        <f t="shared" ref="L3:L18" si="1">K3*E3</f>
        <v>0.04</v>
      </c>
    </row>
    <row r="4" spans="2:12">
      <c r="B4" s="4">
        <v>2</v>
      </c>
      <c r="C4" s="1" t="s">
        <v>703</v>
      </c>
      <c r="D4" s="1" t="s">
        <v>594</v>
      </c>
      <c r="E4" s="2">
        <v>2</v>
      </c>
      <c r="F4" s="4" t="s">
        <v>148</v>
      </c>
      <c r="G4" s="4" t="s">
        <v>130</v>
      </c>
      <c r="H4" s="1" t="s">
        <v>706</v>
      </c>
      <c r="I4" s="85">
        <v>0.43</v>
      </c>
      <c r="J4" s="85">
        <f t="shared" si="0"/>
        <v>0.86</v>
      </c>
      <c r="K4" s="70" t="s">
        <v>146</v>
      </c>
      <c r="L4" s="50">
        <f t="shared" si="1"/>
        <v>0.04</v>
      </c>
    </row>
    <row r="5" spans="2:12">
      <c r="B5" s="4">
        <v>3</v>
      </c>
      <c r="C5" s="1" t="s">
        <v>704</v>
      </c>
      <c r="D5" s="1" t="s">
        <v>592</v>
      </c>
      <c r="E5" s="2">
        <v>42</v>
      </c>
      <c r="F5" s="4" t="s">
        <v>148</v>
      </c>
      <c r="G5" s="4" t="s">
        <v>593</v>
      </c>
      <c r="H5" s="1" t="s">
        <v>705</v>
      </c>
      <c r="I5" s="85">
        <v>0.5</v>
      </c>
      <c r="J5" s="85">
        <f t="shared" si="0"/>
        <v>21</v>
      </c>
      <c r="K5" s="70" t="s">
        <v>25</v>
      </c>
      <c r="L5" s="50">
        <f t="shared" si="1"/>
        <v>4.2</v>
      </c>
    </row>
    <row r="6" spans="2:12">
      <c r="B6" s="4">
        <v>4</v>
      </c>
      <c r="C6" s="1" t="s">
        <v>177</v>
      </c>
      <c r="D6" s="1" t="s">
        <v>607</v>
      </c>
      <c r="E6" s="2">
        <v>30</v>
      </c>
      <c r="F6" s="4" t="s">
        <v>148</v>
      </c>
      <c r="G6" s="4" t="s">
        <v>18</v>
      </c>
      <c r="H6" s="1" t="s">
        <v>19</v>
      </c>
      <c r="I6" s="85">
        <v>0.01</v>
      </c>
      <c r="J6" s="85">
        <f t="shared" si="0"/>
        <v>0.3</v>
      </c>
      <c r="K6" s="70" t="s">
        <v>47</v>
      </c>
      <c r="L6" s="50">
        <f t="shared" si="1"/>
        <v>0</v>
      </c>
    </row>
    <row r="7" spans="2:12">
      <c r="B7" s="4">
        <v>5</v>
      </c>
      <c r="C7" s="1" t="s">
        <v>631</v>
      </c>
      <c r="D7" s="1" t="s">
        <v>595</v>
      </c>
      <c r="E7" s="2">
        <v>1</v>
      </c>
      <c r="F7" s="4" t="s">
        <v>148</v>
      </c>
      <c r="G7" s="4" t="s">
        <v>117</v>
      </c>
      <c r="H7" s="1" t="s">
        <v>611</v>
      </c>
      <c r="I7" s="85">
        <v>1.1000000000000001</v>
      </c>
      <c r="J7" s="85">
        <f t="shared" si="0"/>
        <v>1.1000000000000001</v>
      </c>
      <c r="K7" s="70" t="s">
        <v>610</v>
      </c>
      <c r="L7" s="50">
        <f t="shared" si="1"/>
        <v>0.86</v>
      </c>
    </row>
    <row r="8" spans="2:12">
      <c r="B8" s="4">
        <v>6</v>
      </c>
      <c r="C8" s="1" t="s">
        <v>217</v>
      </c>
      <c r="D8" s="1" t="s">
        <v>596</v>
      </c>
      <c r="E8" s="2">
        <v>6</v>
      </c>
      <c r="F8" s="4" t="s">
        <v>148</v>
      </c>
      <c r="G8" s="4" t="s">
        <v>38</v>
      </c>
      <c r="H8" s="1" t="s">
        <v>694</v>
      </c>
      <c r="I8" s="85">
        <v>0.8</v>
      </c>
      <c r="J8" s="85">
        <f t="shared" si="0"/>
        <v>4.8000000000000007</v>
      </c>
      <c r="K8" s="70">
        <v>0.34</v>
      </c>
      <c r="L8" s="50">
        <f t="shared" si="1"/>
        <v>2.04</v>
      </c>
    </row>
    <row r="9" spans="2:12">
      <c r="B9" s="4">
        <v>7</v>
      </c>
      <c r="C9" s="1" t="s">
        <v>608</v>
      </c>
      <c r="D9" s="1" t="s">
        <v>597</v>
      </c>
      <c r="E9" s="2">
        <v>12</v>
      </c>
      <c r="F9" s="4" t="s">
        <v>148</v>
      </c>
      <c r="G9" s="4" t="s">
        <v>179</v>
      </c>
      <c r="H9" s="1" t="s">
        <v>701</v>
      </c>
      <c r="I9" s="85">
        <v>0.16</v>
      </c>
      <c r="J9" s="85">
        <f t="shared" si="0"/>
        <v>1.92</v>
      </c>
      <c r="K9" s="70" t="s">
        <v>67</v>
      </c>
      <c r="L9" s="50">
        <f t="shared" si="1"/>
        <v>0.48</v>
      </c>
    </row>
    <row r="10" spans="2:12">
      <c r="B10" s="4">
        <v>8</v>
      </c>
      <c r="C10" s="1" t="s">
        <v>613</v>
      </c>
      <c r="D10" s="1" t="s">
        <v>598</v>
      </c>
      <c r="E10" s="2">
        <v>21</v>
      </c>
      <c r="F10" s="4" t="s">
        <v>148</v>
      </c>
      <c r="G10" s="4" t="s">
        <v>599</v>
      </c>
      <c r="H10" s="1" t="s">
        <v>612</v>
      </c>
      <c r="I10" s="85">
        <v>0</v>
      </c>
      <c r="J10" s="85">
        <f t="shared" si="0"/>
        <v>0</v>
      </c>
      <c r="K10" s="70" t="s">
        <v>600</v>
      </c>
      <c r="L10" s="50">
        <f t="shared" si="1"/>
        <v>14.7</v>
      </c>
    </row>
    <row r="11" spans="2:12">
      <c r="B11" s="4">
        <v>9</v>
      </c>
      <c r="C11" s="1" t="s">
        <v>615</v>
      </c>
      <c r="D11" s="1" t="s">
        <v>603</v>
      </c>
      <c r="E11" s="2">
        <v>4</v>
      </c>
      <c r="F11" s="4" t="s">
        <v>120</v>
      </c>
      <c r="G11" s="4" t="s">
        <v>609</v>
      </c>
      <c r="H11" s="1" t="s">
        <v>697</v>
      </c>
      <c r="I11" s="85">
        <v>0.93</v>
      </c>
      <c r="J11" s="85">
        <f t="shared" si="0"/>
        <v>3.72</v>
      </c>
      <c r="K11" s="70">
        <v>0.6</v>
      </c>
      <c r="L11" s="50">
        <f t="shared" si="1"/>
        <v>2.4</v>
      </c>
    </row>
    <row r="12" spans="2:12">
      <c r="B12" s="4">
        <v>10</v>
      </c>
      <c r="C12" s="1" t="s">
        <v>614</v>
      </c>
      <c r="D12" s="1" t="s">
        <v>602</v>
      </c>
      <c r="E12" s="2">
        <v>21</v>
      </c>
      <c r="F12" s="4" t="s">
        <v>120</v>
      </c>
      <c r="G12" s="4" t="s">
        <v>609</v>
      </c>
      <c r="H12" s="1" t="s">
        <v>695</v>
      </c>
      <c r="I12" s="85">
        <v>0.93</v>
      </c>
      <c r="J12" s="85">
        <f t="shared" si="0"/>
        <v>19.53</v>
      </c>
      <c r="K12" s="70">
        <v>0.6</v>
      </c>
      <c r="L12" s="50">
        <f t="shared" si="1"/>
        <v>12.6</v>
      </c>
    </row>
    <row r="13" spans="2:12">
      <c r="B13" s="4">
        <v>11</v>
      </c>
      <c r="C13" s="1" t="s">
        <v>616</v>
      </c>
      <c r="D13" s="1" t="s">
        <v>604</v>
      </c>
      <c r="E13" s="2">
        <v>6</v>
      </c>
      <c r="F13" s="4" t="s">
        <v>120</v>
      </c>
      <c r="G13" s="4" t="s">
        <v>609</v>
      </c>
      <c r="H13" s="1" t="s">
        <v>696</v>
      </c>
      <c r="I13" s="85">
        <v>0.93</v>
      </c>
      <c r="J13" s="85">
        <f t="shared" si="0"/>
        <v>5.58</v>
      </c>
      <c r="K13" s="70">
        <v>0.6</v>
      </c>
      <c r="L13" s="50">
        <f t="shared" si="1"/>
        <v>3.5999999999999996</v>
      </c>
    </row>
    <row r="14" spans="2:12">
      <c r="B14" s="4">
        <v>12</v>
      </c>
      <c r="C14" s="1" t="s">
        <v>605</v>
      </c>
      <c r="D14" s="1" t="s">
        <v>606</v>
      </c>
      <c r="E14" s="2">
        <v>1</v>
      </c>
      <c r="F14" s="4" t="s">
        <v>148</v>
      </c>
      <c r="G14" s="4" t="s">
        <v>698</v>
      </c>
      <c r="H14" s="1" t="s">
        <v>699</v>
      </c>
      <c r="I14" s="85">
        <v>1.95</v>
      </c>
      <c r="J14" s="85">
        <f t="shared" si="0"/>
        <v>1.95</v>
      </c>
      <c r="K14" s="70">
        <v>1.64</v>
      </c>
      <c r="L14" s="50">
        <f t="shared" si="1"/>
        <v>1.64</v>
      </c>
    </row>
    <row r="15" spans="2:12">
      <c r="B15" s="4">
        <v>13</v>
      </c>
      <c r="C15" s="3" t="s">
        <v>26</v>
      </c>
      <c r="D15" s="3" t="s">
        <v>27</v>
      </c>
      <c r="E15" s="2">
        <v>1</v>
      </c>
      <c r="F15" s="4" t="s">
        <v>148</v>
      </c>
      <c r="G15" s="4" t="s">
        <v>120</v>
      </c>
      <c r="H15" s="3" t="s">
        <v>700</v>
      </c>
      <c r="I15" s="85">
        <v>3.153</v>
      </c>
      <c r="J15" s="85">
        <f t="shared" si="0"/>
        <v>3.153</v>
      </c>
      <c r="K15" s="70">
        <v>1</v>
      </c>
      <c r="L15" s="50">
        <f t="shared" si="1"/>
        <v>1</v>
      </c>
    </row>
    <row r="16" spans="2:12">
      <c r="B16" s="4">
        <v>14</v>
      </c>
      <c r="C16" s="3" t="s">
        <v>721</v>
      </c>
      <c r="D16" s="3" t="s">
        <v>60</v>
      </c>
      <c r="E16" s="2">
        <v>1</v>
      </c>
      <c r="F16" s="4" t="s">
        <v>722</v>
      </c>
      <c r="G16" s="4" t="s">
        <v>722</v>
      </c>
      <c r="H16" s="3" t="s">
        <v>722</v>
      </c>
      <c r="I16" s="85">
        <v>10</v>
      </c>
      <c r="J16" s="85">
        <f t="shared" si="0"/>
        <v>10</v>
      </c>
      <c r="K16" s="70">
        <v>6.5</v>
      </c>
      <c r="L16" s="50">
        <f t="shared" si="1"/>
        <v>6.5</v>
      </c>
    </row>
    <row r="17" spans="2:12">
      <c r="B17" s="4">
        <v>15</v>
      </c>
      <c r="C17" s="3" t="s">
        <v>617</v>
      </c>
      <c r="D17" s="3" t="s">
        <v>551</v>
      </c>
      <c r="E17" s="2">
        <v>1</v>
      </c>
      <c r="F17" s="4" t="s">
        <v>524</v>
      </c>
      <c r="G17" s="4" t="s">
        <v>525</v>
      </c>
      <c r="H17" s="3" t="s">
        <v>617</v>
      </c>
      <c r="I17" s="85">
        <v>0</v>
      </c>
      <c r="J17" s="85">
        <f t="shared" si="0"/>
        <v>0</v>
      </c>
      <c r="K17" s="70">
        <v>7</v>
      </c>
      <c r="L17" s="50">
        <f t="shared" si="1"/>
        <v>7</v>
      </c>
    </row>
    <row r="18" spans="2:12">
      <c r="B18" s="4">
        <v>16</v>
      </c>
      <c r="C18" s="86" t="s">
        <v>618</v>
      </c>
      <c r="D18" s="86" t="s">
        <v>551</v>
      </c>
      <c r="E18" s="87">
        <v>1</v>
      </c>
      <c r="F18" s="4" t="s">
        <v>524</v>
      </c>
      <c r="G18" s="4" t="s">
        <v>525</v>
      </c>
      <c r="H18" s="86" t="s">
        <v>618</v>
      </c>
      <c r="I18" s="88">
        <v>0</v>
      </c>
      <c r="J18" s="85">
        <f t="shared" si="0"/>
        <v>0</v>
      </c>
      <c r="K18" s="50">
        <v>7</v>
      </c>
      <c r="L18" s="50">
        <f t="shared" si="1"/>
        <v>7</v>
      </c>
    </row>
    <row r="19" spans="2:12" ht="16.5">
      <c r="B19" s="89"/>
      <c r="C19" s="89"/>
      <c r="D19" s="89"/>
      <c r="E19" s="89"/>
      <c r="F19" s="89"/>
      <c r="G19" s="89"/>
      <c r="H19" s="89"/>
      <c r="I19" s="89"/>
      <c r="J19" s="81">
        <f>SUM(J3:J18)</f>
        <v>73.992999999999995</v>
      </c>
      <c r="K19" s="89"/>
      <c r="L19" s="90">
        <f>SUM(L3:L18)</f>
        <v>64.099999999999994</v>
      </c>
    </row>
    <row r="20" spans="2:12" ht="16.5"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91">
        <f>K17+L10</f>
        <v>21.7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0"/>
  <sheetViews>
    <sheetView workbookViewId="0">
      <selection activeCell="C17" sqref="C3:H17"/>
    </sheetView>
  </sheetViews>
  <sheetFormatPr defaultRowHeight="16.5"/>
  <cols>
    <col min="1" max="2" width="9.140625" style="89"/>
    <col min="3" max="3" width="18.7109375" style="89" customWidth="1"/>
    <col min="4" max="4" width="31.28515625" style="89" customWidth="1"/>
    <col min="5" max="6" width="9.140625" style="89"/>
    <col min="7" max="7" width="16.85546875" style="89" customWidth="1"/>
    <col min="8" max="8" width="25.85546875" style="89" customWidth="1"/>
    <col min="9" max="16384" width="9.140625" style="89"/>
  </cols>
  <sheetData>
    <row r="2" spans="2:12" ht="15" customHeight="1">
      <c r="B2" s="10" t="s">
        <v>591</v>
      </c>
      <c r="C2" s="10" t="s">
        <v>132</v>
      </c>
      <c r="D2" s="10" t="s">
        <v>133</v>
      </c>
      <c r="E2" s="10" t="s">
        <v>136</v>
      </c>
      <c r="F2" s="10" t="s">
        <v>134</v>
      </c>
      <c r="G2" s="10" t="s">
        <v>366</v>
      </c>
      <c r="H2" s="10" t="s">
        <v>135</v>
      </c>
      <c r="I2" s="10" t="s">
        <v>677</v>
      </c>
      <c r="J2" s="10" t="s">
        <v>688</v>
      </c>
      <c r="K2" s="36" t="s">
        <v>137</v>
      </c>
      <c r="L2" s="36" t="s">
        <v>138</v>
      </c>
    </row>
    <row r="3" spans="2:12" ht="15" customHeight="1">
      <c r="B3" s="4">
        <v>1</v>
      </c>
      <c r="C3" s="1" t="s">
        <v>736</v>
      </c>
      <c r="D3" s="1" t="s">
        <v>551</v>
      </c>
      <c r="E3" s="2">
        <v>1</v>
      </c>
      <c r="F3" s="4" t="s">
        <v>121</v>
      </c>
      <c r="G3" s="4" t="s">
        <v>707</v>
      </c>
      <c r="H3" s="1" t="s">
        <v>708</v>
      </c>
      <c r="I3" s="85">
        <v>34.1</v>
      </c>
      <c r="J3" s="85">
        <f t="shared" ref="J3:J19" si="0">I3*E3</f>
        <v>34.1</v>
      </c>
      <c r="K3" s="70">
        <v>29.31</v>
      </c>
      <c r="L3" s="50">
        <f t="shared" ref="L3:L19" si="1">K3*E3</f>
        <v>29.31</v>
      </c>
    </row>
    <row r="4" spans="2:12" ht="15" customHeight="1">
      <c r="B4" s="4">
        <v>2</v>
      </c>
      <c r="C4" s="1" t="s">
        <v>742</v>
      </c>
      <c r="D4" s="1" t="s">
        <v>732</v>
      </c>
      <c r="E4" s="2">
        <v>2</v>
      </c>
      <c r="F4" s="4" t="s">
        <v>121</v>
      </c>
      <c r="G4" s="4" t="s">
        <v>730</v>
      </c>
      <c r="H4" s="1" t="s">
        <v>731</v>
      </c>
      <c r="I4" s="85">
        <v>0.02</v>
      </c>
      <c r="J4" s="85">
        <f t="shared" si="0"/>
        <v>0.04</v>
      </c>
      <c r="K4" s="70">
        <v>0.01</v>
      </c>
      <c r="L4" s="51">
        <f t="shared" si="1"/>
        <v>0.02</v>
      </c>
    </row>
    <row r="5" spans="2:12" ht="15" customHeight="1">
      <c r="B5" s="4">
        <v>3</v>
      </c>
      <c r="C5" s="1" t="s">
        <v>744</v>
      </c>
      <c r="D5" s="1" t="s">
        <v>735</v>
      </c>
      <c r="E5" s="2">
        <v>1</v>
      </c>
      <c r="F5" s="4" t="s">
        <v>121</v>
      </c>
      <c r="G5" s="4" t="s">
        <v>730</v>
      </c>
      <c r="H5" s="1" t="s">
        <v>109</v>
      </c>
      <c r="I5" s="85">
        <v>0.02</v>
      </c>
      <c r="J5" s="85">
        <f t="shared" si="0"/>
        <v>0.02</v>
      </c>
      <c r="K5" s="70">
        <v>0</v>
      </c>
      <c r="L5" s="50">
        <f t="shared" si="1"/>
        <v>0</v>
      </c>
    </row>
    <row r="6" spans="2:12" ht="15" customHeight="1">
      <c r="B6" s="4">
        <v>4</v>
      </c>
      <c r="C6" s="1" t="s">
        <v>743</v>
      </c>
      <c r="D6" s="1" t="s">
        <v>733</v>
      </c>
      <c r="E6" s="2">
        <v>2</v>
      </c>
      <c r="F6" s="4" t="s">
        <v>121</v>
      </c>
      <c r="G6" s="4" t="s">
        <v>730</v>
      </c>
      <c r="H6" s="1" t="s">
        <v>734</v>
      </c>
      <c r="I6" s="85">
        <v>0.02</v>
      </c>
      <c r="J6" s="85">
        <f t="shared" si="0"/>
        <v>0.04</v>
      </c>
      <c r="K6" s="70">
        <v>0.01</v>
      </c>
      <c r="L6" s="51">
        <f t="shared" si="1"/>
        <v>0.02</v>
      </c>
    </row>
    <row r="7" spans="2:12" ht="15" customHeight="1">
      <c r="B7" s="4">
        <v>5</v>
      </c>
      <c r="C7" s="1" t="s">
        <v>704</v>
      </c>
      <c r="D7" s="1" t="s">
        <v>714</v>
      </c>
      <c r="E7" s="2">
        <v>6</v>
      </c>
      <c r="F7" s="4" t="s">
        <v>121</v>
      </c>
      <c r="G7" s="4" t="s">
        <v>2</v>
      </c>
      <c r="H7" s="1" t="s">
        <v>705</v>
      </c>
      <c r="I7" s="85">
        <v>0.5</v>
      </c>
      <c r="J7" s="85">
        <f t="shared" si="0"/>
        <v>3</v>
      </c>
      <c r="K7" s="70" t="s">
        <v>25</v>
      </c>
      <c r="L7" s="51">
        <f t="shared" si="1"/>
        <v>0.60000000000000009</v>
      </c>
    </row>
    <row r="8" spans="2:12" ht="15" customHeight="1">
      <c r="B8" s="4">
        <v>6</v>
      </c>
      <c r="C8" s="1" t="s">
        <v>14</v>
      </c>
      <c r="D8" s="1" t="s">
        <v>715</v>
      </c>
      <c r="E8" s="2">
        <v>4</v>
      </c>
      <c r="F8" s="4" t="s">
        <v>121</v>
      </c>
      <c r="G8" s="4" t="s">
        <v>709</v>
      </c>
      <c r="H8" s="1" t="s">
        <v>710</v>
      </c>
      <c r="I8" s="85">
        <v>0.28999999999999998</v>
      </c>
      <c r="J8" s="85">
        <f t="shared" si="0"/>
        <v>1.1599999999999999</v>
      </c>
      <c r="K8" s="70">
        <v>0.08</v>
      </c>
      <c r="L8" s="51">
        <f t="shared" si="1"/>
        <v>0.32</v>
      </c>
    </row>
    <row r="9" spans="2:12" ht="15" customHeight="1">
      <c r="B9" s="4">
        <v>7</v>
      </c>
      <c r="C9" s="1" t="s">
        <v>236</v>
      </c>
      <c r="D9" s="1" t="s">
        <v>723</v>
      </c>
      <c r="E9" s="2">
        <v>8</v>
      </c>
      <c r="F9" s="4" t="s">
        <v>121</v>
      </c>
      <c r="G9" s="4" t="s">
        <v>709</v>
      </c>
      <c r="H9" s="1" t="s">
        <v>724</v>
      </c>
      <c r="I9" s="85">
        <v>0.21</v>
      </c>
      <c r="J9" s="85">
        <f t="shared" si="0"/>
        <v>1.68</v>
      </c>
      <c r="K9" s="70">
        <v>0.12</v>
      </c>
      <c r="L9" s="50">
        <f t="shared" si="1"/>
        <v>0.96</v>
      </c>
    </row>
    <row r="10" spans="2:12" ht="15" customHeight="1">
      <c r="B10" s="4">
        <v>8</v>
      </c>
      <c r="C10" s="1" t="s">
        <v>177</v>
      </c>
      <c r="D10" s="1" t="s">
        <v>30</v>
      </c>
      <c r="E10" s="2">
        <v>1</v>
      </c>
      <c r="F10" s="4" t="s">
        <v>121</v>
      </c>
      <c r="G10" s="4" t="s">
        <v>729</v>
      </c>
      <c r="H10" s="1" t="s">
        <v>19</v>
      </c>
      <c r="I10" s="85">
        <v>0.02</v>
      </c>
      <c r="J10" s="85">
        <f t="shared" si="0"/>
        <v>0.02</v>
      </c>
      <c r="K10" s="70">
        <v>0</v>
      </c>
      <c r="L10" s="51">
        <f t="shared" si="1"/>
        <v>0</v>
      </c>
    </row>
    <row r="11" spans="2:12" ht="15" customHeight="1">
      <c r="B11" s="4">
        <v>9</v>
      </c>
      <c r="C11" s="1" t="s">
        <v>711</v>
      </c>
      <c r="D11" s="1" t="s">
        <v>390</v>
      </c>
      <c r="E11" s="2">
        <v>1</v>
      </c>
      <c r="F11" s="4" t="s">
        <v>121</v>
      </c>
      <c r="G11" s="4" t="s">
        <v>55</v>
      </c>
      <c r="H11" s="1" t="s">
        <v>712</v>
      </c>
      <c r="I11" s="85">
        <v>1.58</v>
      </c>
      <c r="J11" s="85">
        <f t="shared" si="0"/>
        <v>1.58</v>
      </c>
      <c r="K11" s="70">
        <v>1.34</v>
      </c>
      <c r="L11" s="51">
        <f t="shared" si="1"/>
        <v>1.34</v>
      </c>
    </row>
    <row r="12" spans="2:12" ht="15" customHeight="1">
      <c r="B12" s="4">
        <v>10</v>
      </c>
      <c r="C12" s="1" t="s">
        <v>711</v>
      </c>
      <c r="D12" s="1" t="s">
        <v>394</v>
      </c>
      <c r="E12" s="2">
        <v>1</v>
      </c>
      <c r="F12" s="4" t="s">
        <v>121</v>
      </c>
      <c r="G12" s="4" t="s">
        <v>55</v>
      </c>
      <c r="H12" s="1" t="s">
        <v>713</v>
      </c>
      <c r="I12" s="85">
        <v>3.39</v>
      </c>
      <c r="J12" s="85">
        <f t="shared" si="0"/>
        <v>3.39</v>
      </c>
      <c r="K12" s="70">
        <v>2</v>
      </c>
      <c r="L12" s="50">
        <f t="shared" si="1"/>
        <v>2</v>
      </c>
    </row>
    <row r="13" spans="2:12" ht="15" customHeight="1">
      <c r="B13" s="4">
        <v>11</v>
      </c>
      <c r="C13" s="1" t="s">
        <v>711</v>
      </c>
      <c r="D13" s="1" t="s">
        <v>716</v>
      </c>
      <c r="E13" s="2">
        <v>1</v>
      </c>
      <c r="F13" s="4" t="s">
        <v>121</v>
      </c>
      <c r="G13" s="4" t="s">
        <v>55</v>
      </c>
      <c r="H13" s="1" t="s">
        <v>717</v>
      </c>
      <c r="I13" s="85">
        <v>1.85</v>
      </c>
      <c r="J13" s="85">
        <f t="shared" si="0"/>
        <v>1.85</v>
      </c>
      <c r="K13" s="70">
        <v>1.58</v>
      </c>
      <c r="L13" s="51">
        <f t="shared" si="1"/>
        <v>1.58</v>
      </c>
    </row>
    <row r="14" spans="2:12" ht="15" customHeight="1">
      <c r="B14" s="4">
        <v>12</v>
      </c>
      <c r="C14" s="1" t="s">
        <v>728</v>
      </c>
      <c r="D14" s="1" t="s">
        <v>725</v>
      </c>
      <c r="E14" s="2">
        <v>1</v>
      </c>
      <c r="F14" s="4" t="s">
        <v>121</v>
      </c>
      <c r="G14" s="4" t="s">
        <v>726</v>
      </c>
      <c r="H14" s="1" t="s">
        <v>727</v>
      </c>
      <c r="I14" s="85">
        <v>2.2599999999999998</v>
      </c>
      <c r="J14" s="85">
        <f t="shared" si="0"/>
        <v>2.2599999999999998</v>
      </c>
      <c r="K14" s="70">
        <v>1.63</v>
      </c>
      <c r="L14" s="51">
        <f t="shared" si="1"/>
        <v>1.63</v>
      </c>
    </row>
    <row r="15" spans="2:12" ht="15" customHeight="1">
      <c r="B15" s="4">
        <v>13</v>
      </c>
      <c r="C15" s="1" t="s">
        <v>720</v>
      </c>
      <c r="D15" s="1" t="s">
        <v>116</v>
      </c>
      <c r="E15" s="2">
        <v>2</v>
      </c>
      <c r="F15" s="4" t="s">
        <v>121</v>
      </c>
      <c r="G15" s="4" t="s">
        <v>718</v>
      </c>
      <c r="H15" s="1" t="s">
        <v>719</v>
      </c>
      <c r="I15" s="85">
        <v>0.85</v>
      </c>
      <c r="J15" s="85">
        <f t="shared" si="0"/>
        <v>1.7</v>
      </c>
      <c r="K15" s="70">
        <v>0.45</v>
      </c>
      <c r="L15" s="50">
        <f t="shared" si="1"/>
        <v>0.9</v>
      </c>
    </row>
    <row r="16" spans="2:12" ht="15" customHeight="1">
      <c r="B16" s="4">
        <v>14</v>
      </c>
      <c r="C16" s="1" t="s">
        <v>741</v>
      </c>
      <c r="D16" s="1" t="s">
        <v>738</v>
      </c>
      <c r="E16" s="2">
        <v>1</v>
      </c>
      <c r="F16" s="4" t="s">
        <v>121</v>
      </c>
      <c r="G16" s="4" t="s">
        <v>577</v>
      </c>
      <c r="H16" s="1" t="s">
        <v>737</v>
      </c>
      <c r="I16" s="85">
        <v>0.25</v>
      </c>
      <c r="J16" s="85">
        <f t="shared" si="0"/>
        <v>0.25</v>
      </c>
      <c r="K16" s="70">
        <v>0.18</v>
      </c>
      <c r="L16" s="50">
        <f t="shared" si="1"/>
        <v>0.18</v>
      </c>
    </row>
    <row r="17" spans="2:12" ht="15" customHeight="1">
      <c r="B17" s="4">
        <v>15</v>
      </c>
      <c r="C17" s="1" t="s">
        <v>740</v>
      </c>
      <c r="D17" s="1" t="s">
        <v>739</v>
      </c>
      <c r="E17" s="2">
        <v>1</v>
      </c>
      <c r="F17" s="4" t="s">
        <v>121</v>
      </c>
      <c r="G17" s="4" t="s">
        <v>577</v>
      </c>
      <c r="H17" s="1" t="s">
        <v>737</v>
      </c>
      <c r="I17" s="85">
        <v>0.65</v>
      </c>
      <c r="J17" s="85">
        <f t="shared" si="0"/>
        <v>0.65</v>
      </c>
      <c r="K17" s="70">
        <v>0.45</v>
      </c>
      <c r="L17" s="50">
        <f t="shared" si="1"/>
        <v>0.45</v>
      </c>
    </row>
    <row r="18" spans="2:12" ht="15" customHeight="1">
      <c r="B18" s="4">
        <v>16</v>
      </c>
      <c r="C18" s="1" t="s">
        <v>745</v>
      </c>
      <c r="D18" s="1" t="s">
        <v>139</v>
      </c>
      <c r="E18" s="2">
        <v>1</v>
      </c>
      <c r="F18" s="4"/>
      <c r="G18" s="4"/>
      <c r="H18" s="1"/>
      <c r="I18" s="85">
        <v>0</v>
      </c>
      <c r="J18" s="85">
        <f t="shared" si="0"/>
        <v>0</v>
      </c>
      <c r="K18" s="70">
        <v>8</v>
      </c>
      <c r="L18" s="50">
        <f t="shared" si="1"/>
        <v>8</v>
      </c>
    </row>
    <row r="19" spans="2:12" ht="15" customHeight="1">
      <c r="B19" s="4">
        <v>17</v>
      </c>
      <c r="C19" s="41" t="s">
        <v>746</v>
      </c>
      <c r="D19" s="95"/>
      <c r="E19" s="92">
        <v>1</v>
      </c>
      <c r="F19" s="95"/>
      <c r="G19" s="95"/>
      <c r="H19" s="95"/>
      <c r="I19" s="96">
        <v>0</v>
      </c>
      <c r="J19" s="93">
        <f t="shared" si="0"/>
        <v>0</v>
      </c>
      <c r="K19" s="96">
        <v>0</v>
      </c>
      <c r="L19" s="94">
        <f t="shared" si="1"/>
        <v>0</v>
      </c>
    </row>
    <row r="20" spans="2:12">
      <c r="J20" s="81">
        <f>SUM(J3:J19)</f>
        <v>51.74</v>
      </c>
      <c r="K20" s="79"/>
      <c r="L20" s="90">
        <f>SUM(L3:L19)</f>
        <v>47.31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workbookViewId="0">
      <selection activeCell="I31" sqref="I31"/>
    </sheetView>
  </sheetViews>
  <sheetFormatPr defaultRowHeight="15"/>
  <cols>
    <col min="1" max="1" width="3.7109375" customWidth="1"/>
    <col min="2" max="2" width="10.5703125" customWidth="1"/>
    <col min="3" max="3" width="21.5703125" customWidth="1"/>
    <col min="4" max="4" width="31.5703125" customWidth="1"/>
    <col min="5" max="5" width="16.85546875" customWidth="1"/>
    <col min="6" max="6" width="17.42578125" customWidth="1"/>
    <col min="7" max="7" width="18.7109375" customWidth="1"/>
    <col min="8" max="8" width="13.28515625" customWidth="1"/>
    <col min="9" max="9" width="13.42578125" customWidth="1"/>
    <col min="10" max="10" width="13.5703125" customWidth="1"/>
  </cols>
  <sheetData>
    <row r="2" spans="2:10" ht="30" customHeight="1">
      <c r="B2" s="10" t="s">
        <v>591</v>
      </c>
      <c r="C2" s="10" t="s">
        <v>132</v>
      </c>
      <c r="D2" s="10" t="s">
        <v>133</v>
      </c>
      <c r="E2" s="10" t="s">
        <v>134</v>
      </c>
      <c r="F2" s="10" t="s">
        <v>366</v>
      </c>
      <c r="G2" s="10" t="s">
        <v>135</v>
      </c>
      <c r="H2" s="49" t="s">
        <v>137</v>
      </c>
      <c r="I2" s="10" t="s">
        <v>136</v>
      </c>
      <c r="J2" s="49" t="s">
        <v>138</v>
      </c>
    </row>
    <row r="3" spans="2:10">
      <c r="B3" s="69">
        <v>1</v>
      </c>
      <c r="C3" s="1" t="s">
        <v>554</v>
      </c>
      <c r="D3" s="3" t="s">
        <v>408</v>
      </c>
      <c r="E3" s="4" t="s">
        <v>148</v>
      </c>
      <c r="F3" s="2" t="s">
        <v>255</v>
      </c>
      <c r="G3" s="3" t="s">
        <v>335</v>
      </c>
      <c r="H3" s="50">
        <v>7.2899999999999996E-3</v>
      </c>
      <c r="I3" s="2">
        <v>4</v>
      </c>
      <c r="J3" s="51">
        <f>I3*H3</f>
        <v>2.9159999999999998E-2</v>
      </c>
    </row>
    <row r="4" spans="2:10">
      <c r="B4" s="69">
        <v>2</v>
      </c>
      <c r="C4" s="1" t="s">
        <v>555</v>
      </c>
      <c r="D4" s="3" t="s">
        <v>409</v>
      </c>
      <c r="E4" s="4" t="s">
        <v>148</v>
      </c>
      <c r="F4" s="2" t="s">
        <v>255</v>
      </c>
      <c r="G4" s="3" t="s">
        <v>410</v>
      </c>
      <c r="H4" s="50">
        <v>7.2899999999999996E-3</v>
      </c>
      <c r="I4" s="2">
        <v>6</v>
      </c>
      <c r="J4" s="51">
        <f>I4*H4</f>
        <v>4.3740000000000001E-2</v>
      </c>
    </row>
    <row r="5" spans="2:10">
      <c r="B5" s="69">
        <v>3</v>
      </c>
      <c r="C5" s="1" t="s">
        <v>556</v>
      </c>
      <c r="D5" s="3" t="s">
        <v>411</v>
      </c>
      <c r="E5" s="4" t="s">
        <v>148</v>
      </c>
      <c r="F5" s="2" t="s">
        <v>255</v>
      </c>
      <c r="G5" s="3" t="s">
        <v>412</v>
      </c>
      <c r="H5" s="50">
        <v>7.2899999999999996E-3</v>
      </c>
      <c r="I5" s="2">
        <v>1</v>
      </c>
      <c r="J5" s="51">
        <f>I5*H5</f>
        <v>7.2899999999999996E-3</v>
      </c>
    </row>
    <row r="6" spans="2:10">
      <c r="B6" s="69">
        <v>4</v>
      </c>
      <c r="C6" s="1" t="s">
        <v>559</v>
      </c>
      <c r="D6" s="3" t="s">
        <v>413</v>
      </c>
      <c r="E6" s="4" t="s">
        <v>148</v>
      </c>
      <c r="F6" s="2" t="s">
        <v>24</v>
      </c>
      <c r="G6" s="3" t="s">
        <v>57</v>
      </c>
      <c r="H6" s="50">
        <v>0.01</v>
      </c>
      <c r="I6" s="2">
        <v>2</v>
      </c>
      <c r="J6" s="51">
        <f t="shared" ref="J6:J19" si="0">I6*H6</f>
        <v>0.02</v>
      </c>
    </row>
    <row r="7" spans="2:10">
      <c r="B7" s="69">
        <v>5</v>
      </c>
      <c r="C7" s="1" t="s">
        <v>558</v>
      </c>
      <c r="D7" s="3" t="s">
        <v>414</v>
      </c>
      <c r="E7" s="4" t="s">
        <v>148</v>
      </c>
      <c r="F7" s="2" t="s">
        <v>24</v>
      </c>
      <c r="G7" s="3" t="s">
        <v>415</v>
      </c>
      <c r="H7" s="50">
        <v>0.01</v>
      </c>
      <c r="I7" s="2">
        <v>3</v>
      </c>
      <c r="J7" s="51">
        <f t="shared" si="0"/>
        <v>0.03</v>
      </c>
    </row>
    <row r="8" spans="2:10">
      <c r="B8" s="69">
        <v>6</v>
      </c>
      <c r="C8" s="1" t="s">
        <v>557</v>
      </c>
      <c r="D8" s="3" t="s">
        <v>416</v>
      </c>
      <c r="E8" s="4" t="s">
        <v>148</v>
      </c>
      <c r="F8" s="2" t="s">
        <v>24</v>
      </c>
      <c r="G8" s="3" t="s">
        <v>415</v>
      </c>
      <c r="H8" s="50">
        <v>0.01</v>
      </c>
      <c r="I8" s="2">
        <v>2</v>
      </c>
      <c r="J8" s="51">
        <f t="shared" si="0"/>
        <v>0.02</v>
      </c>
    </row>
    <row r="9" spans="2:10">
      <c r="B9" s="69">
        <v>7</v>
      </c>
      <c r="C9" s="1" t="s">
        <v>561</v>
      </c>
      <c r="D9" s="3" t="s">
        <v>30</v>
      </c>
      <c r="E9" s="4" t="s">
        <v>148</v>
      </c>
      <c r="F9" s="2" t="s">
        <v>18</v>
      </c>
      <c r="G9" s="3" t="s">
        <v>562</v>
      </c>
      <c r="H9" s="50">
        <v>0.01</v>
      </c>
      <c r="I9" s="2">
        <v>1</v>
      </c>
      <c r="J9" s="51">
        <f t="shared" si="0"/>
        <v>0.01</v>
      </c>
    </row>
    <row r="10" spans="2:10">
      <c r="B10" s="69">
        <v>8</v>
      </c>
      <c r="C10" s="1" t="s">
        <v>417</v>
      </c>
      <c r="D10" s="3" t="s">
        <v>418</v>
      </c>
      <c r="E10" s="4" t="s">
        <v>148</v>
      </c>
      <c r="F10" s="2" t="s">
        <v>130</v>
      </c>
      <c r="G10" s="3" t="s">
        <v>560</v>
      </c>
      <c r="H10" s="50">
        <v>0.26</v>
      </c>
      <c r="I10" s="2">
        <v>10</v>
      </c>
      <c r="J10" s="51">
        <f t="shared" si="0"/>
        <v>2.6</v>
      </c>
    </row>
    <row r="11" spans="2:10">
      <c r="B11" s="69">
        <v>9</v>
      </c>
      <c r="C11" s="1" t="s">
        <v>630</v>
      </c>
      <c r="D11" s="3" t="s">
        <v>390</v>
      </c>
      <c r="E11" s="4" t="s">
        <v>148</v>
      </c>
      <c r="F11" s="2" t="s">
        <v>564</v>
      </c>
      <c r="G11" s="3" t="s">
        <v>419</v>
      </c>
      <c r="H11" s="50">
        <v>0.41599999999999998</v>
      </c>
      <c r="I11" s="2">
        <v>1</v>
      </c>
      <c r="J11" s="51">
        <f t="shared" si="0"/>
        <v>0.41599999999999998</v>
      </c>
    </row>
    <row r="12" spans="2:10">
      <c r="B12" s="69">
        <v>10</v>
      </c>
      <c r="C12" s="1" t="s">
        <v>622</v>
      </c>
      <c r="D12" s="3" t="s">
        <v>394</v>
      </c>
      <c r="E12" s="4" t="s">
        <v>148</v>
      </c>
      <c r="F12" s="2" t="s">
        <v>38</v>
      </c>
      <c r="G12" s="3" t="s">
        <v>52</v>
      </c>
      <c r="H12" s="50">
        <v>0.3</v>
      </c>
      <c r="I12" s="2">
        <v>1</v>
      </c>
      <c r="J12" s="51">
        <f t="shared" si="0"/>
        <v>0.3</v>
      </c>
    </row>
    <row r="13" spans="2:10">
      <c r="B13" s="69">
        <v>11</v>
      </c>
      <c r="C13" s="1" t="s">
        <v>420</v>
      </c>
      <c r="D13" s="3" t="s">
        <v>421</v>
      </c>
      <c r="E13" s="4" t="s">
        <v>148</v>
      </c>
      <c r="F13" s="2" t="s">
        <v>565</v>
      </c>
      <c r="G13" s="3" t="s">
        <v>563</v>
      </c>
      <c r="H13" s="50">
        <v>0</v>
      </c>
      <c r="I13" s="2">
        <v>3</v>
      </c>
      <c r="J13" s="51">
        <f t="shared" si="0"/>
        <v>0</v>
      </c>
    </row>
    <row r="14" spans="2:10">
      <c r="B14" s="69">
        <v>12</v>
      </c>
      <c r="C14" s="1" t="s">
        <v>422</v>
      </c>
      <c r="D14" s="3" t="s">
        <v>423</v>
      </c>
      <c r="E14" s="4" t="s">
        <v>148</v>
      </c>
      <c r="F14" s="2" t="s">
        <v>86</v>
      </c>
      <c r="G14" s="3" t="s">
        <v>424</v>
      </c>
      <c r="H14" s="50">
        <v>0.13300000000000001</v>
      </c>
      <c r="I14" s="2">
        <v>1</v>
      </c>
      <c r="J14" s="51">
        <f t="shared" si="0"/>
        <v>0.13300000000000001</v>
      </c>
    </row>
    <row r="15" spans="2:10">
      <c r="B15" s="69">
        <v>13</v>
      </c>
      <c r="C15" s="1" t="s">
        <v>422</v>
      </c>
      <c r="D15" s="3" t="s">
        <v>425</v>
      </c>
      <c r="E15" s="4" t="s">
        <v>148</v>
      </c>
      <c r="F15" s="2" t="s">
        <v>86</v>
      </c>
      <c r="G15" s="3" t="s">
        <v>424</v>
      </c>
      <c r="H15" s="50">
        <v>0.13300000000000001</v>
      </c>
      <c r="I15" s="2">
        <v>1</v>
      </c>
      <c r="J15" s="51">
        <f t="shared" si="0"/>
        <v>0.13300000000000001</v>
      </c>
    </row>
    <row r="16" spans="2:10">
      <c r="B16" s="69">
        <v>14</v>
      </c>
      <c r="C16" s="1" t="s">
        <v>567</v>
      </c>
      <c r="D16" s="3" t="s">
        <v>426</v>
      </c>
      <c r="E16" s="4" t="s">
        <v>148</v>
      </c>
      <c r="F16" s="2" t="s">
        <v>28</v>
      </c>
      <c r="G16" s="3" t="s">
        <v>566</v>
      </c>
      <c r="H16" s="50">
        <v>0.45</v>
      </c>
      <c r="I16" s="2">
        <v>1</v>
      </c>
      <c r="J16" s="51">
        <f t="shared" si="0"/>
        <v>0.45</v>
      </c>
    </row>
    <row r="17" spans="2:10">
      <c r="B17" s="69">
        <v>15</v>
      </c>
      <c r="C17" s="1" t="s">
        <v>427</v>
      </c>
      <c r="D17" s="3" t="s">
        <v>428</v>
      </c>
      <c r="E17" s="4" t="s">
        <v>148</v>
      </c>
      <c r="F17" s="2" t="s">
        <v>568</v>
      </c>
      <c r="G17" s="3" t="s">
        <v>429</v>
      </c>
      <c r="H17" s="50">
        <v>0.221</v>
      </c>
      <c r="I17" s="2">
        <v>2</v>
      </c>
      <c r="J17" s="51">
        <f t="shared" si="0"/>
        <v>0.442</v>
      </c>
    </row>
    <row r="18" spans="2:10">
      <c r="B18" s="69">
        <v>16</v>
      </c>
      <c r="C18" s="1" t="s">
        <v>531</v>
      </c>
      <c r="D18" s="18" t="s">
        <v>551</v>
      </c>
      <c r="E18" s="37" t="s">
        <v>524</v>
      </c>
      <c r="F18" s="37" t="s">
        <v>525</v>
      </c>
      <c r="G18" s="1" t="s">
        <v>531</v>
      </c>
      <c r="H18" s="50">
        <v>2</v>
      </c>
      <c r="I18" s="37">
        <v>1</v>
      </c>
      <c r="J18" s="51">
        <f t="shared" si="0"/>
        <v>2</v>
      </c>
    </row>
    <row r="19" spans="2:10">
      <c r="B19" s="69">
        <v>17</v>
      </c>
      <c r="C19" s="41" t="s">
        <v>532</v>
      </c>
      <c r="D19" s="18" t="s">
        <v>551</v>
      </c>
      <c r="E19" s="37" t="s">
        <v>524</v>
      </c>
      <c r="F19" s="37" t="s">
        <v>525</v>
      </c>
      <c r="G19" s="41" t="s">
        <v>532</v>
      </c>
      <c r="H19" s="50">
        <v>3</v>
      </c>
      <c r="I19" s="37">
        <v>1</v>
      </c>
      <c r="J19" s="51">
        <f t="shared" si="0"/>
        <v>3</v>
      </c>
    </row>
    <row r="20" spans="2:10">
      <c r="J20" s="47">
        <f>SUM(J3:J19)</f>
        <v>9.6341900000000003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"/>
  <sheetViews>
    <sheetView workbookViewId="0">
      <selection activeCell="H8" sqref="H8"/>
    </sheetView>
  </sheetViews>
  <sheetFormatPr defaultRowHeight="15"/>
  <cols>
    <col min="1" max="1" width="3.7109375" customWidth="1"/>
    <col min="2" max="2" width="12.7109375" customWidth="1"/>
    <col min="3" max="3" width="24.5703125" customWidth="1"/>
    <col min="4" max="4" width="16.7109375" style="40" customWidth="1"/>
    <col min="5" max="5" width="22.28515625" style="40" customWidth="1"/>
    <col min="6" max="6" width="20.5703125" customWidth="1"/>
    <col min="7" max="7" width="13.42578125" style="40" customWidth="1"/>
    <col min="8" max="8" width="8" style="40" customWidth="1"/>
    <col min="9" max="9" width="10.28515625" style="40" customWidth="1"/>
  </cols>
  <sheetData>
    <row r="2" spans="2:9" ht="30" customHeight="1">
      <c r="B2" s="10" t="s">
        <v>591</v>
      </c>
      <c r="C2" s="10" t="s">
        <v>132</v>
      </c>
      <c r="D2" s="10" t="s">
        <v>134</v>
      </c>
      <c r="E2" s="10" t="s">
        <v>366</v>
      </c>
      <c r="F2" s="10" t="s">
        <v>135</v>
      </c>
      <c r="G2" s="13" t="s">
        <v>137</v>
      </c>
      <c r="H2" s="10" t="s">
        <v>136</v>
      </c>
      <c r="I2" s="13" t="s">
        <v>138</v>
      </c>
    </row>
    <row r="3" spans="2:9">
      <c r="B3" s="69">
        <v>1</v>
      </c>
      <c r="C3" s="1" t="s">
        <v>542</v>
      </c>
      <c r="D3" s="37" t="s">
        <v>544</v>
      </c>
      <c r="E3" s="37" t="s">
        <v>544</v>
      </c>
      <c r="F3" s="37" t="s">
        <v>546</v>
      </c>
      <c r="G3" s="15">
        <v>157.61000000000001</v>
      </c>
      <c r="H3" s="14">
        <v>1</v>
      </c>
      <c r="I3" s="48">
        <f>G3*H3</f>
        <v>157.61000000000001</v>
      </c>
    </row>
    <row r="4" spans="2:9">
      <c r="B4" s="69">
        <v>2</v>
      </c>
      <c r="C4" s="1" t="s">
        <v>547</v>
      </c>
      <c r="D4" s="37" t="s">
        <v>548</v>
      </c>
      <c r="E4" s="37" t="s">
        <v>553</v>
      </c>
      <c r="F4" s="37" t="s">
        <v>552</v>
      </c>
      <c r="G4" s="15">
        <v>30</v>
      </c>
      <c r="H4" s="14">
        <v>1</v>
      </c>
      <c r="I4" s="39">
        <f>G4*H4</f>
        <v>30</v>
      </c>
    </row>
    <row r="5" spans="2:9">
      <c r="B5" s="69">
        <v>3</v>
      </c>
      <c r="C5" s="1" t="s">
        <v>549</v>
      </c>
      <c r="D5" s="37" t="s">
        <v>120</v>
      </c>
      <c r="E5" s="37" t="s">
        <v>551</v>
      </c>
      <c r="F5" s="37" t="s">
        <v>120</v>
      </c>
      <c r="G5" s="15" t="s">
        <v>545</v>
      </c>
      <c r="H5" s="14">
        <v>24</v>
      </c>
      <c r="I5" s="48">
        <f>G5*H5</f>
        <v>1.2000000000000002</v>
      </c>
    </row>
    <row r="6" spans="2:9">
      <c r="B6" s="69">
        <v>4</v>
      </c>
      <c r="C6" s="1" t="s">
        <v>550</v>
      </c>
      <c r="D6" s="37" t="s">
        <v>120</v>
      </c>
      <c r="E6" s="37" t="s">
        <v>551</v>
      </c>
      <c r="F6" s="37" t="s">
        <v>120</v>
      </c>
      <c r="G6" s="15">
        <v>0.25</v>
      </c>
      <c r="H6" s="14">
        <v>4</v>
      </c>
      <c r="I6" s="39">
        <f>G6*H6</f>
        <v>1</v>
      </c>
    </row>
    <row r="7" spans="2:9">
      <c r="I7" s="45">
        <f>SUM(I3:I5)</f>
        <v>188.81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2"/>
  <sheetViews>
    <sheetView workbookViewId="0">
      <selection activeCell="H3" sqref="C3:H12"/>
    </sheetView>
  </sheetViews>
  <sheetFormatPr defaultRowHeight="15"/>
  <cols>
    <col min="1" max="1" width="3.7109375" customWidth="1"/>
    <col min="2" max="2" width="11" customWidth="1"/>
    <col min="3" max="4" width="24.5703125" customWidth="1"/>
    <col min="5" max="5" width="8" style="40" customWidth="1"/>
    <col min="6" max="6" width="21.85546875" style="40" customWidth="1"/>
    <col min="7" max="7" width="18.7109375" style="40" customWidth="1"/>
    <col min="8" max="8" width="20.5703125" customWidth="1"/>
    <col min="9" max="9" width="13.42578125" style="40" customWidth="1"/>
    <col min="10" max="10" width="10.28515625" style="40" customWidth="1"/>
  </cols>
  <sheetData>
    <row r="2" spans="2:10" ht="30" customHeight="1">
      <c r="B2" s="10" t="s">
        <v>591</v>
      </c>
      <c r="C2" s="10" t="s">
        <v>132</v>
      </c>
      <c r="D2" s="10"/>
      <c r="E2" s="10" t="s">
        <v>136</v>
      </c>
      <c r="F2" s="10" t="s">
        <v>366</v>
      </c>
      <c r="G2" s="10" t="s">
        <v>134</v>
      </c>
      <c r="H2" s="10" t="s">
        <v>135</v>
      </c>
      <c r="I2" s="13" t="s">
        <v>137</v>
      </c>
      <c r="J2" s="13" t="s">
        <v>138</v>
      </c>
    </row>
    <row r="3" spans="2:10">
      <c r="B3" s="69">
        <v>1</v>
      </c>
      <c r="C3" s="1" t="s">
        <v>572</v>
      </c>
      <c r="D3" s="1" t="s">
        <v>551</v>
      </c>
      <c r="E3" s="14">
        <v>21</v>
      </c>
      <c r="F3" s="37" t="s">
        <v>796</v>
      </c>
      <c r="G3" s="37" t="s">
        <v>796</v>
      </c>
      <c r="H3" s="37" t="s">
        <v>799</v>
      </c>
      <c r="I3" s="15">
        <v>0.35</v>
      </c>
      <c r="J3" s="48">
        <f>I3*E3</f>
        <v>7.35</v>
      </c>
    </row>
    <row r="4" spans="2:10">
      <c r="B4" s="69"/>
      <c r="C4" s="1" t="s">
        <v>572</v>
      </c>
      <c r="D4" s="1" t="s">
        <v>551</v>
      </c>
      <c r="E4" s="14" t="s">
        <v>797</v>
      </c>
      <c r="F4" s="37" t="s">
        <v>796</v>
      </c>
      <c r="G4" s="102" t="s">
        <v>798</v>
      </c>
      <c r="H4" s="37" t="s">
        <v>799</v>
      </c>
      <c r="I4" s="15"/>
      <c r="J4" s="48"/>
    </row>
    <row r="5" spans="2:10">
      <c r="B5" s="69"/>
      <c r="C5" s="1" t="s">
        <v>572</v>
      </c>
      <c r="D5" s="1" t="s">
        <v>551</v>
      </c>
      <c r="E5" s="14">
        <v>1</v>
      </c>
      <c r="F5" s="37" t="s">
        <v>796</v>
      </c>
      <c r="G5" s="37" t="s">
        <v>796</v>
      </c>
      <c r="H5" s="37" t="s">
        <v>805</v>
      </c>
      <c r="I5" s="15"/>
      <c r="J5" s="48"/>
    </row>
    <row r="6" spans="2:10">
      <c r="B6" s="69"/>
      <c r="C6" s="1" t="s">
        <v>572</v>
      </c>
      <c r="D6" s="1" t="s">
        <v>551</v>
      </c>
      <c r="E6" s="14">
        <v>1</v>
      </c>
      <c r="F6" s="37" t="s">
        <v>796</v>
      </c>
      <c r="G6" s="102" t="s">
        <v>798</v>
      </c>
      <c r="H6" s="37" t="s">
        <v>805</v>
      </c>
      <c r="I6" s="15"/>
      <c r="J6" s="48"/>
    </row>
    <row r="7" spans="2:10">
      <c r="B7" s="69"/>
      <c r="C7" s="1" t="s">
        <v>802</v>
      </c>
      <c r="D7" s="1" t="s">
        <v>551</v>
      </c>
      <c r="E7" s="14">
        <v>22</v>
      </c>
      <c r="F7" s="37" t="s">
        <v>796</v>
      </c>
      <c r="G7" s="37" t="s">
        <v>796</v>
      </c>
      <c r="H7" s="37" t="s">
        <v>800</v>
      </c>
      <c r="I7" s="15"/>
      <c r="J7" s="48"/>
    </row>
    <row r="8" spans="2:10">
      <c r="B8" s="69"/>
      <c r="C8" s="1" t="s">
        <v>802</v>
      </c>
      <c r="D8" s="1" t="s">
        <v>551</v>
      </c>
      <c r="E8" s="14" t="s">
        <v>801</v>
      </c>
      <c r="F8" s="37" t="s">
        <v>796</v>
      </c>
      <c r="G8" s="102" t="s">
        <v>798</v>
      </c>
      <c r="H8" s="37" t="s">
        <v>800</v>
      </c>
      <c r="I8" s="15"/>
      <c r="J8" s="48"/>
    </row>
    <row r="9" spans="2:10">
      <c r="B9" s="69">
        <v>2</v>
      </c>
      <c r="C9" s="1" t="s">
        <v>573</v>
      </c>
      <c r="D9" s="1"/>
      <c r="E9" s="14">
        <v>1</v>
      </c>
      <c r="F9" s="37" t="s">
        <v>494</v>
      </c>
      <c r="G9" s="37" t="s">
        <v>577</v>
      </c>
      <c r="H9" s="37" t="s">
        <v>120</v>
      </c>
      <c r="I9" s="15">
        <v>0.85</v>
      </c>
      <c r="J9" s="48">
        <f>I9*E9</f>
        <v>0.85</v>
      </c>
    </row>
    <row r="10" spans="2:10">
      <c r="B10" s="69">
        <v>5</v>
      </c>
      <c r="C10" s="1" t="s">
        <v>575</v>
      </c>
      <c r="D10" s="1"/>
      <c r="E10" s="14">
        <v>1</v>
      </c>
      <c r="F10" s="37" t="s">
        <v>574</v>
      </c>
      <c r="G10" s="37" t="s">
        <v>120</v>
      </c>
      <c r="H10" s="37" t="s">
        <v>120</v>
      </c>
      <c r="I10" s="15">
        <v>8</v>
      </c>
      <c r="J10" s="48">
        <f>I10*E10</f>
        <v>8</v>
      </c>
    </row>
    <row r="11" spans="2:10">
      <c r="B11" s="69">
        <v>6</v>
      </c>
      <c r="C11" s="1" t="s">
        <v>576</v>
      </c>
      <c r="D11" s="1"/>
      <c r="E11" s="14">
        <v>1</v>
      </c>
      <c r="F11" s="37" t="s">
        <v>120</v>
      </c>
      <c r="G11" s="37" t="s">
        <v>120</v>
      </c>
      <c r="H11" s="37" t="s">
        <v>120</v>
      </c>
      <c r="I11" s="15">
        <v>1</v>
      </c>
      <c r="J11" s="39">
        <f>I11*E11</f>
        <v>1</v>
      </c>
    </row>
    <row r="12" spans="2:10">
      <c r="B12" s="69">
        <v>7</v>
      </c>
      <c r="C12" s="1" t="s">
        <v>583</v>
      </c>
      <c r="D12" s="1"/>
      <c r="E12" s="14">
        <v>1</v>
      </c>
      <c r="F12" s="37" t="s">
        <v>86</v>
      </c>
      <c r="G12" s="37" t="s">
        <v>86</v>
      </c>
      <c r="H12" s="37" t="s">
        <v>86</v>
      </c>
      <c r="I12" s="15">
        <v>2</v>
      </c>
      <c r="J12" s="39">
        <f>I12*E12</f>
        <v>2</v>
      </c>
    </row>
  </sheetData>
  <hyperlinks>
    <hyperlink ref="G4" r:id="rId1"/>
    <hyperlink ref="G8" r:id="rId2"/>
    <hyperlink ref="G6" r:id="rId3"/>
  </hyperlinks>
  <pageMargins left="0.7" right="0.7" top="0.75" bottom="0.75" header="0.3" footer="0.3"/>
  <pageSetup orientation="portrait" horizontalDpi="1200" verticalDpi="120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8"/>
  <sheetViews>
    <sheetView workbookViewId="0">
      <selection activeCell="K28" sqref="K28"/>
    </sheetView>
  </sheetViews>
  <sheetFormatPr defaultRowHeight="15"/>
  <cols>
    <col min="1" max="1" width="3.7109375" customWidth="1"/>
    <col min="2" max="2" width="9.42578125" customWidth="1"/>
    <col min="3" max="3" width="24.5703125" customWidth="1"/>
    <col min="4" max="4" width="18.7109375" style="40" customWidth="1"/>
    <col min="5" max="5" width="20.5703125" customWidth="1"/>
    <col min="6" max="6" width="21.85546875" style="40" customWidth="1"/>
    <col min="7" max="7" width="8" style="40" customWidth="1"/>
    <col min="8" max="8" width="13.42578125" style="40" customWidth="1"/>
    <col min="9" max="9" width="10.28515625" style="40" customWidth="1"/>
  </cols>
  <sheetData>
    <row r="2" spans="2:9" ht="30" customHeight="1">
      <c r="B2" s="10" t="s">
        <v>591</v>
      </c>
      <c r="C2" s="10" t="s">
        <v>132</v>
      </c>
      <c r="D2" s="10" t="s">
        <v>134</v>
      </c>
      <c r="E2" s="10" t="s">
        <v>135</v>
      </c>
      <c r="F2" s="10" t="s">
        <v>366</v>
      </c>
      <c r="G2" s="10" t="s">
        <v>136</v>
      </c>
      <c r="H2" s="13" t="s">
        <v>137</v>
      </c>
      <c r="I2" s="13" t="s">
        <v>138</v>
      </c>
    </row>
    <row r="3" spans="2:9">
      <c r="B3" s="69">
        <v>1</v>
      </c>
      <c r="C3" s="37" t="s">
        <v>578</v>
      </c>
      <c r="D3" s="37" t="s">
        <v>584</v>
      </c>
      <c r="E3" s="37" t="s">
        <v>579</v>
      </c>
      <c r="F3" s="37" t="s">
        <v>584</v>
      </c>
      <c r="G3" s="14">
        <v>1</v>
      </c>
      <c r="H3" s="15">
        <v>5</v>
      </c>
      <c r="I3" s="39">
        <f>H3*G3</f>
        <v>5</v>
      </c>
    </row>
    <row r="4" spans="2:9">
      <c r="B4" s="69">
        <v>2</v>
      </c>
      <c r="C4" s="37" t="s">
        <v>580</v>
      </c>
      <c r="D4" s="37" t="s">
        <v>581</v>
      </c>
      <c r="E4" s="37" t="s">
        <v>582</v>
      </c>
      <c r="F4" s="37" t="s">
        <v>581</v>
      </c>
      <c r="G4" s="14">
        <v>2</v>
      </c>
      <c r="H4" s="15">
        <v>1</v>
      </c>
      <c r="I4" s="39">
        <f>H4*G4</f>
        <v>2</v>
      </c>
    </row>
    <row r="5" spans="2:9">
      <c r="B5" s="69">
        <v>3</v>
      </c>
      <c r="C5" s="37" t="s">
        <v>585</v>
      </c>
      <c r="D5" s="37" t="s">
        <v>586</v>
      </c>
      <c r="E5" s="37" t="s">
        <v>120</v>
      </c>
      <c r="F5" s="37" t="s">
        <v>587</v>
      </c>
      <c r="G5" s="14">
        <v>1</v>
      </c>
      <c r="H5" s="15">
        <v>1.5</v>
      </c>
      <c r="I5" s="48">
        <f>H5*G5</f>
        <v>1.5</v>
      </c>
    </row>
    <row r="6" spans="2:9">
      <c r="B6" s="69">
        <v>4</v>
      </c>
      <c r="C6" s="37" t="s">
        <v>589</v>
      </c>
      <c r="D6" s="37" t="s">
        <v>120</v>
      </c>
      <c r="E6" s="37" t="s">
        <v>120</v>
      </c>
      <c r="F6" s="37" t="s">
        <v>120</v>
      </c>
      <c r="G6" s="14">
        <v>1</v>
      </c>
      <c r="H6" s="15">
        <v>0.45</v>
      </c>
      <c r="I6" s="48">
        <f>H6*G6</f>
        <v>0.45</v>
      </c>
    </row>
    <row r="7" spans="2:9">
      <c r="B7" s="69">
        <v>5</v>
      </c>
      <c r="C7" s="66" t="s">
        <v>590</v>
      </c>
      <c r="D7" s="37" t="s">
        <v>120</v>
      </c>
      <c r="E7" s="37" t="s">
        <v>120</v>
      </c>
      <c r="F7" s="37" t="s">
        <v>120</v>
      </c>
      <c r="G7" s="55">
        <v>1</v>
      </c>
      <c r="H7" s="65">
        <v>0.15</v>
      </c>
      <c r="I7" s="64">
        <f>H7*G7</f>
        <v>0.15</v>
      </c>
    </row>
    <row r="8" spans="2:9">
      <c r="I8" s="67">
        <f>SUM(I3:I7)</f>
        <v>9.1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OB-R Top Level BOM</vt:lpstr>
      <vt:lpstr>OB-R Mainboard</vt:lpstr>
      <vt:lpstr>OB-R Voice Mobo</vt:lpstr>
      <vt:lpstr>OB-R Voice Card RevA</vt:lpstr>
      <vt:lpstr>OB-R DAC Board</vt:lpstr>
      <vt:lpstr>OB-R Panel</vt:lpstr>
      <vt:lpstr>Power Supply</vt:lpstr>
      <vt:lpstr>OB-R IO Board</vt:lpstr>
      <vt:lpstr>OB-R Enclosure</vt:lpstr>
      <vt:lpstr>Hardware</vt:lpstr>
      <vt:lpstr>Packaging</vt:lpstr>
      <vt:lpstr>'OB-R DAC Board'!Print_Area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Castro</dc:creator>
  <cp:lastModifiedBy>Abstrakt Office</cp:lastModifiedBy>
  <cp:lastPrinted>2020-01-14T14:55:58Z</cp:lastPrinted>
  <dcterms:created xsi:type="dcterms:W3CDTF">2019-02-24T07:36:29Z</dcterms:created>
  <dcterms:modified xsi:type="dcterms:W3CDTF">2020-01-14T14:56:59Z</dcterms:modified>
</cp:coreProperties>
</file>