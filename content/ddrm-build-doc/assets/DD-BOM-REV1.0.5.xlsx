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45" windowWidth="15960" windowHeight="18075"/>
  </bookViews>
  <sheets>
    <sheet name="DD-BOM-REV1.0" sheetId="1" r:id="rId1"/>
  </sheets>
  <calcPr calcId="145621"/>
</workbook>
</file>

<file path=xl/calcChain.xml><?xml version="1.0" encoding="utf-8"?>
<calcChain xmlns="http://schemas.openxmlformats.org/spreadsheetml/2006/main">
  <c r="D135" i="1" l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99" i="1"/>
  <c r="D98" i="1"/>
  <c r="D97" i="1"/>
  <c r="D96" i="1"/>
  <c r="D95" i="1"/>
  <c r="D94" i="1"/>
  <c r="D92" i="1"/>
  <c r="D91" i="1"/>
  <c r="D90" i="1"/>
  <c r="D89" i="1"/>
  <c r="D88" i="1"/>
  <c r="D87" i="1"/>
  <c r="D86" i="1"/>
  <c r="D85" i="1"/>
  <c r="D84" i="1"/>
  <c r="D83" i="1"/>
  <c r="D82" i="1"/>
</calcChain>
</file>

<file path=xl/sharedStrings.xml><?xml version="1.0" encoding="utf-8"?>
<sst xmlns="http://schemas.openxmlformats.org/spreadsheetml/2006/main" count="869" uniqueCount="586">
  <si>
    <t>DECKARD’S DREAM BILL OF MATERIALS REV 1.0.5</t>
  </si>
  <si>
    <t>HARDWARE BOARD</t>
  </si>
  <si>
    <t>VALUE</t>
  </si>
  <si>
    <t>DESIGNATOR</t>
  </si>
  <si>
    <t>QUANTITY</t>
  </si>
  <si>
    <t>FOOTPRINT</t>
  </si>
  <si>
    <t>NOTE</t>
  </si>
  <si>
    <t>MOUSER PART #</t>
  </si>
  <si>
    <t>15uF</t>
  </si>
  <si>
    <t>C100, C101</t>
  </si>
  <si>
    <t>5MM DIA / 2MM LS</t>
  </si>
  <si>
    <t>ELECTROLYTHIC CAPACITOR</t>
  </si>
  <si>
    <t>598-156PUM035M</t>
  </si>
  <si>
    <t>0.1uF</t>
  </si>
  <si>
    <t>C1, C2, C3, C4, C5, C6, C7, C8, C9, C10, C11, C12, C13, C14, C15, C16, C17, C18, C19, C20, C21, C22, C23, C24, C25, C26, C27, C28, C29, C30, C31, C32, C33, C34, C35, C36, C37, C38, C39, C40, C41, C42, C43, C44, C45, C46, C47, C48, C49, C50, C51, C52, C53, C54, C55, C56, C57, C58, C59, C60, C61, C62, C63, C64, C65, C66, C67, C68, C69, C70, C71, C72, C73, C74, C75, C76, C77, C78, C79, C80, C81, C82, C83, C84, C86, C87, C88, C89, C92, C93, C94, C95, C96, C97, C98, C99, C102, C103, C104</t>
  </si>
  <si>
    <t>SMT 0805</t>
  </si>
  <si>
    <t>CERAMIC CAPACITOR</t>
  </si>
  <si>
    <t>581-08055C104K</t>
  </si>
  <si>
    <t>CD4051</t>
  </si>
  <si>
    <t>IC2, IC3, IC5, IC6, IC8, IC9, IC11, IC12, IC14, IC15</t>
  </si>
  <si>
    <t>DIP16</t>
  </si>
  <si>
    <t>ANALOG MULTIPLEXER/DEMULTIPLEXER</t>
  </si>
  <si>
    <t>595-CD4051BE</t>
  </si>
  <si>
    <t>74HC595</t>
  </si>
  <si>
    <t>IC4, IC7, IC10, IC13, IC16</t>
  </si>
  <si>
    <t>8-BIT SHIFT REGISTER WITH 3-STATE OUTPUT REGISTER</t>
  </si>
  <si>
    <t>595-SN74HC595N</t>
  </si>
  <si>
    <t>PLD1</t>
  </si>
  <si>
    <t>PLD-10</t>
  </si>
  <si>
    <t>2.54M PITCH 2X5 FEMALE HEADER</t>
  </si>
  <si>
    <t>517-929975-01-05-RK</t>
  </si>
  <si>
    <t>PLD2</t>
  </si>
  <si>
    <t>PLD-12</t>
  </si>
  <si>
    <t>2.54M PITCH 2X6 FEMALE HEADER</t>
  </si>
  <si>
    <t>517-929975-01-06-RK</t>
  </si>
  <si>
    <t>47K</t>
  </si>
  <si>
    <t>R1, R2, R3, R4, R5, R11, R12, R13, R14, R19, R20</t>
  </si>
  <si>
    <t>1/4W 1% RESISTOR</t>
  </si>
  <si>
    <t>271-47K-RC</t>
  </si>
  <si>
    <t>10K</t>
  </si>
  <si>
    <t>R6, R7, R8, R9, R10, R15, R16, R17, R18, R21, R22</t>
  </si>
  <si>
    <t>271-10K-RC</t>
  </si>
  <si>
    <t>1K</t>
  </si>
  <si>
    <t>R23, R24, R26, R27, R28, R29, R30, R31, R32, R33</t>
  </si>
  <si>
    <t>271-1K-RC</t>
  </si>
  <si>
    <t>SW1, SW2, SW3, SW4</t>
  </si>
  <si>
    <t>DPDT SLIDE SWITCH</t>
  </si>
  <si>
    <t>612-EG2201B</t>
  </si>
  <si>
    <t>SW5</t>
  </si>
  <si>
    <t>DP3T SLIDE SWITCH</t>
  </si>
  <si>
    <t>612-EG2301B</t>
  </si>
  <si>
    <t>10-100K LINEAR</t>
  </si>
  <si>
    <t>SLIDE POTENTIOMETER 30MM TRAVEL</t>
  </si>
  <si>
    <t>652-PTA30432015B104</t>
  </si>
  <si>
    <t>SLIDE POTENTIOMETER 20MM TRAVEL</t>
  </si>
  <si>
    <t>652-PTA20432015CPB10</t>
  </si>
  <si>
    <t>SLIDE POTENTIOMETER 20MM TRAVEL CENTER DETENT</t>
  </si>
  <si>
    <t>652-PTA2432215CPB104</t>
  </si>
  <si>
    <t>9MM METAL ROUND SHAFT POTENTIOMETER</t>
  </si>
  <si>
    <r>
      <rPr>
        <u/>
        <sz val="8"/>
        <color indexed="10"/>
        <rFont val="Calibri"/>
      </rPr>
      <t>http://smallbear-electronics.mybigcommerce.com/alpha-single-gang-9mm-right-angle-pc-mount/</t>
    </r>
  </si>
  <si>
    <t>BT1, BT2, BT3, BT4, BT5</t>
  </si>
  <si>
    <t>6x6MM</t>
  </si>
  <si>
    <t>TACT SWITCH 15MM HEIGHT</t>
  </si>
  <si>
    <r>
      <rPr>
        <u/>
        <sz val="8"/>
        <color indexed="10"/>
        <rFont val="Segoe UI"/>
      </rPr>
      <t>http://www.ebay.com/itm/232190328351</t>
    </r>
  </si>
  <si>
    <t>OLED</t>
  </si>
  <si>
    <t>0.96” I2C IIC SPI SERIAL 128X64 WHITE OLED DISPLAY</t>
  </si>
  <si>
    <r>
      <rPr>
        <u/>
        <sz val="8"/>
        <color indexed="10"/>
        <rFont val="Segoe UI"/>
      </rPr>
      <t>http://www.ebay.com/itm/172518846641</t>
    </r>
  </si>
  <si>
    <t>MAIN BOARD</t>
  </si>
  <si>
    <t>BREAKOUT</t>
  </si>
  <si>
    <t>IDC-16</t>
  </si>
  <si>
    <t>16 PIN IDC MALE HEADER</t>
  </si>
  <si>
    <t xml:space="preserve">571-1761681-6 </t>
  </si>
  <si>
    <t>330uF</t>
  </si>
  <si>
    <t>C288, C289, C333, C338</t>
  </si>
  <si>
    <t>10MM DIA / 5MM LS</t>
  </si>
  <si>
    <t>667-ECA-1VM331</t>
  </si>
  <si>
    <t>C1, C2, C3, C4, C5, C34, C35, C36, C86, C87, C88, C89, C282, C283, C339, C340</t>
  </si>
  <si>
    <t>C6, C11, C13, C14, C15, C16, C18, C19, C20, C21, C23, C24, C30, C33, C38, C40, C43, C50, C52, C55, C62, C64, C67, C74, C76, C79, C90, C91, C93, C95, C98, C102, C103, C107, C110, C111, C113, C115, C118, C123, C127, C128, C130, C131, C133, C135, C138, C145, C146, C148, C149, C151, C153, C156, C163, C164, C167, C169, C172, C185, C187, C190, C203, C205, C208, C221, C223, C226, C239, C241, C244, C250, C251, C253, C254, C257, C259, C262, C268, C269, C270, C271, C274, C275, C280, C281, C290, C291, C296, C297, C298, C299, C308, C309, C310, C311, C316, C317, C319, C320, C336, C337</t>
  </si>
  <si>
    <t>4.7uF</t>
  </si>
  <si>
    <t>C17, C39, C41, C42, C51, C53, C54, C63, C65, C66, C75, C77, C78, C94, C96, C97, C114, C116, C117, C134, C136, C137, C152, C154, C155, C168, C170, C171, C186, C188, C189, C204, C206, C207, C222, C224, C225, C240, C242, C243, C258, C260, C261</t>
  </si>
  <si>
    <t>5MM LS</t>
  </si>
  <si>
    <t>810-FK26X7R1C475K</t>
  </si>
  <si>
    <t>2.2uF</t>
  </si>
  <si>
    <t>C7, C8, C108, C124</t>
  </si>
  <si>
    <t>810-FG28X5R1E225KRT6</t>
  </si>
  <si>
    <t>1uF</t>
  </si>
  <si>
    <t>C12, C334, C335</t>
  </si>
  <si>
    <t>810-FG28X5R1H105KRT0</t>
  </si>
  <si>
    <t>0.47uF</t>
  </si>
  <si>
    <t>C165, C166, C173, C174, C175, C176, C179, C180, C183, C184, C191, C192, C193, C194, C197, C198, C201, C202, C209, C210, C211, C212, C215, C216, C219, C220, C227, C228, C229, C230, C233, C234, C237, C238, C245, C246, C247, C248, C249, C252, C255, C256, C263, C264, C265, C266, C267</t>
  </si>
  <si>
    <t>810-FG26X7R1H474KNT6</t>
  </si>
  <si>
    <t>0.01uF</t>
  </si>
  <si>
    <t>C25, C32, C44, C45, C48, C49, C56, C57, C60, C61, C68, C69, C72, C73, C80, C81, C84</t>
  </si>
  <si>
    <t>810-FG28C0G1H103JNT6</t>
  </si>
  <si>
    <t>560pF</t>
  </si>
  <si>
    <t>C22, C292, C295, C300, C303, C304, C307, C312, C315, C318, C323, C325, C328</t>
  </si>
  <si>
    <t>810-FG28C0G1H561JNT0</t>
  </si>
  <si>
    <t>100pF</t>
  </si>
  <si>
    <t>C85, C92, C99, C100, C101, C104, C105, C106, C109, C112, C119, C120, C121, C122, C125, C126, C129, C132, C139, C140, C141, C142, C143, C144, C147, C150, C157, C158, C159, C160, C161, C162, C272, C273, C276, C277, C286, C287, C293, C294, C301, C302, C305, C306, C313, C314, C321, C322, C324, C326, C327, C331</t>
  </si>
  <si>
    <t>810-FG28C0G1H101JNT6</t>
  </si>
  <si>
    <t>22pF</t>
  </si>
  <si>
    <t>C9, C10</t>
  </si>
  <si>
    <t>810-FG28C0G1H220JNT6</t>
  </si>
  <si>
    <t>C332, C341</t>
  </si>
  <si>
    <t>FILM CAPACITOR</t>
  </si>
  <si>
    <t>80-R82DC4100AA60J</t>
  </si>
  <si>
    <t>100nF</t>
  </si>
  <si>
    <t>C29</t>
  </si>
  <si>
    <t>80-R82EC3100DQ70J</t>
  </si>
  <si>
    <t>1nF</t>
  </si>
  <si>
    <t>C31</t>
  </si>
  <si>
    <t>80-R82EC1100Z350J</t>
  </si>
  <si>
    <t>BAT43</t>
  </si>
  <si>
    <t>D1, D2</t>
  </si>
  <si>
    <t>DO-35</t>
  </si>
  <si>
    <t>SMALL SIGNAL SCHOTTKY DIODE</t>
  </si>
  <si>
    <t>511-BAT43</t>
  </si>
  <si>
    <t>STM32F405RGT6</t>
  </si>
  <si>
    <t>IC1</t>
  </si>
  <si>
    <t>LQFP64</t>
  </si>
  <si>
    <t>ARM CORTEX-M4 32 BIT MCU</t>
  </si>
  <si>
    <t>PREINSTALLED</t>
  </si>
  <si>
    <t>SST25VF040B</t>
  </si>
  <si>
    <t>IC2</t>
  </si>
  <si>
    <t>SOIC8</t>
  </si>
  <si>
    <t>4 MBIT SPI SERIAL FLASH</t>
  </si>
  <si>
    <t>MAX5134</t>
  </si>
  <si>
    <t>IC8, IC11, IC13, IC15</t>
  </si>
  <si>
    <t>TSSOP16</t>
  </si>
  <si>
    <t>QUAD 16 BIT VOLTAGE-OUTPUT DAC</t>
  </si>
  <si>
    <t>MAX5592</t>
  </si>
  <si>
    <t>IC17, IC21, IC24, IC27, IC30, IC33, IC36, IC39, IC42, IC45</t>
  </si>
  <si>
    <t>TSSOP28</t>
  </si>
  <si>
    <t>OCTAL 12 BIT VOLTAGE-OUTPUT DAC</t>
  </si>
  <si>
    <t>TPA152</t>
  </si>
  <si>
    <t>IC59</t>
  </si>
  <si>
    <t>75-mW STEREO AUDIO POWER AMPLIFIER</t>
  </si>
  <si>
    <t>IC3, IC4</t>
  </si>
  <si>
    <t>TL072</t>
  </si>
  <si>
    <t>IC5, IC6, IC51, IC58</t>
  </si>
  <si>
    <t>DIP8</t>
  </si>
  <si>
    <t>DUAL OPERATIONAL AMPLIFIER</t>
  </si>
  <si>
    <t>595-TL072IP</t>
  </si>
  <si>
    <t>PENTANOISE</t>
  </si>
  <si>
    <t>IC7</t>
  </si>
  <si>
    <t>NOISE GENERATOR</t>
  </si>
  <si>
    <r>
      <rPr>
        <u/>
        <sz val="8"/>
        <color indexed="10"/>
        <rFont val="Segoe UI"/>
      </rPr>
      <t>http://electricdruid.net/product/pentanoise-noise-generator/</t>
    </r>
  </si>
  <si>
    <t>TL431</t>
  </si>
  <si>
    <t>IC9, IC18</t>
  </si>
  <si>
    <t>TO-92</t>
  </si>
  <si>
    <t>PRECISION PROGRAMMABLE REFERENCE</t>
  </si>
  <si>
    <t>595-TL431CLP</t>
  </si>
  <si>
    <t>TL074</t>
  </si>
  <si>
    <t>IC19, IC20, IC22, IC23, IC25, IC26, IC28, IC29, IC43, IC44, IC46, IC47, IC48, IC50, IC52, IC54, IC56</t>
  </si>
  <si>
    <t>DIP14</t>
  </si>
  <si>
    <t>QUAD OPERATIONAL AMPLIFIER</t>
  </si>
  <si>
    <t>595-TL074CN</t>
  </si>
  <si>
    <t>V2164</t>
  </si>
  <si>
    <t>IC53, IC55, IC57</t>
  </si>
  <si>
    <t>QUAD VOLTAGE CONTROLLED AMPLIFIER</t>
  </si>
  <si>
    <r>
      <rPr>
        <u/>
        <sz val="8"/>
        <color indexed="10"/>
        <rFont val="Segoe UI"/>
      </rPr>
      <t>https://www.thonk.co.uk/shop/coolaudio-v2164-all/</t>
    </r>
  </si>
  <si>
    <r>
      <rPr>
        <u/>
        <sz val="8"/>
        <color indexed="10"/>
        <rFont val="Segoe UI"/>
      </rPr>
      <t>http://synthcube.com/cart/ddrm-60x-v2164-ic</t>
    </r>
  </si>
  <si>
    <t>TLV431</t>
  </si>
  <si>
    <t>IC61</t>
  </si>
  <si>
    <t>LOW-VOLTAGE ADJUSTABLE PRECISION SHUNT</t>
  </si>
  <si>
    <t>595-TLV431AILPR</t>
  </si>
  <si>
    <t>PBD1</t>
  </si>
  <si>
    <t>PBD-10</t>
  </si>
  <si>
    <t>2.54M PITCH 2X5 MALE HEADER</t>
  </si>
  <si>
    <t>517-929836-01-05-RK</t>
  </si>
  <si>
    <t>PBD2</t>
  </si>
  <si>
    <t>PBD-12</t>
  </si>
  <si>
    <t>2.54M PITCH 2X6 MALE HEADER</t>
  </si>
  <si>
    <t>517-929836-01-06-RK</t>
  </si>
  <si>
    <t>IRLML2402</t>
  </si>
  <si>
    <t>Q1</t>
  </si>
  <si>
    <t>SOT23</t>
  </si>
  <si>
    <t>MOSFET</t>
  </si>
  <si>
    <t>120K</t>
  </si>
  <si>
    <t>R188, R190</t>
  </si>
  <si>
    <t>271-120K-RC</t>
  </si>
  <si>
    <t>100K</t>
  </si>
  <si>
    <t>R21, R46, R48, R50, R52, R54, R56, R62, R63, R65, R67, R69, R71, R73, R77, R81, R82, R84, R86, R88, R90, R92, R94, R97, R98, R100, R102, R104, R106, R108, R110, R113, R114</t>
  </si>
  <si>
    <t>271-100K-RC</t>
  </si>
  <si>
    <t>51K</t>
  </si>
  <si>
    <t>R45, R47, R49, R51, R53, R55, R59, R60, R64, R66, R68, R70, R72, R75, R79, R80, R83, R85, R87, R89, R91, R93, R95, R96, R99, R101, R103, R105, R107, R109, R111, R112</t>
  </si>
  <si>
    <t>271-51K-RC</t>
  </si>
  <si>
    <t>R2</t>
  </si>
  <si>
    <t>30K</t>
  </si>
  <si>
    <t>R165, R170, R175, R176, R177, R178, R179, R180, R181, R182, R183, R184, R185, R186, R187, R189, R191, R192, R193, R196, R197, R198, R199, R202, R203, R204, R205, R208, R210, R211, R214, R216, R217, R220, R221, R222, R223, R224, R225, R228, R229, R230, R231, R236, R237</t>
  </si>
  <si>
    <t>271-30K-RC</t>
  </si>
  <si>
    <t>22K6</t>
  </si>
  <si>
    <t>R162, R167</t>
  </si>
  <si>
    <t>271-22.6K-RC</t>
  </si>
  <si>
    <t>22K</t>
  </si>
  <si>
    <t>R209, R215</t>
  </si>
  <si>
    <t>271-22K-RC</t>
  </si>
  <si>
    <t>20K</t>
  </si>
  <si>
    <t>R238, R239, R240, R242, R243, R245</t>
  </si>
  <si>
    <t>271-20K-RC</t>
  </si>
  <si>
    <t>R6, R7, R8, R9, R10, R11, R27, R32, R37, R42, R78, R163, R164, R166, R168, R169, R171</t>
  </si>
  <si>
    <t>5K6</t>
  </si>
  <si>
    <t>R20</t>
  </si>
  <si>
    <t>271-5.6K-RC</t>
  </si>
  <si>
    <t>4K7</t>
  </si>
  <si>
    <t>R3, R4, R13</t>
  </si>
  <si>
    <t>271-4.7K-RC</t>
  </si>
  <si>
    <t>2K</t>
  </si>
  <si>
    <t>R74</t>
  </si>
  <si>
    <t>271-2K-RC</t>
  </si>
  <si>
    <t>2K2</t>
  </si>
  <si>
    <t>R15</t>
  </si>
  <si>
    <t>271-2.2K-RC</t>
  </si>
  <si>
    <t>1K3</t>
  </si>
  <si>
    <t>R76</t>
  </si>
  <si>
    <t>271-1.3K-RC</t>
  </si>
  <si>
    <t>R1, R12, R14, R22, R23, R24, R25, R26, R28, R29, R30, R31, R33, R34, R35, R36, R38, R39, R40, R41, R43, R44, R57, R58, R61, R115, R116, R117, R118, R119, R120, R121, R122, R123, R124, R125, R126, R127, R128, R129, R130, R131, R132, R133, R134, R135, R136, R137, R138, R139, R140, R141, R142, R143, R144, R145, R146, R147, R148, R149, R150, R151, R152, R153, R154, R155, R156, R157, R158, R159, R160, R161</t>
  </si>
  <si>
    <t>499R</t>
  </si>
  <si>
    <t>R194, R195, R200, R201, R206, R207, R212, R213, R218, R219, R226, R227</t>
  </si>
  <si>
    <t>271-499-RC</t>
  </si>
  <si>
    <t>100R</t>
  </si>
  <si>
    <t>R241, R244</t>
  </si>
  <si>
    <t>271-100-RC</t>
  </si>
  <si>
    <t>22R</t>
  </si>
  <si>
    <t>R5</t>
  </si>
  <si>
    <t>271-22-RC</t>
  </si>
  <si>
    <t>STLINK</t>
  </si>
  <si>
    <t>IDC-20</t>
  </si>
  <si>
    <t>20 PIN IDC MALE HEADER</t>
  </si>
  <si>
    <t>571-1761681-7</t>
  </si>
  <si>
    <t>1N5817</t>
  </si>
  <si>
    <t>Z1, Z2, Z3</t>
  </si>
  <si>
    <t>SCHOTTKY BARIER RECTIFIER</t>
  </si>
  <si>
    <t>511-1N5817</t>
  </si>
  <si>
    <t>8MHz</t>
  </si>
  <si>
    <t>ZQ1</t>
  </si>
  <si>
    <t>HC-49/US</t>
  </si>
  <si>
    <t>AT-CUT CRYSTAL UNIT</t>
  </si>
  <si>
    <t>695-HC49US-8-U</t>
  </si>
  <si>
    <t>J1</t>
  </si>
  <si>
    <t>1/4” STEREO JACK</t>
  </si>
  <si>
    <t>502-112BX</t>
  </si>
  <si>
    <t>POWER, VOICE1, VOICE2, VOICE3, VOICE4, VOICE5, VOICE6, VOICE7, VOICE8</t>
  </si>
  <si>
    <t>EDAC-44</t>
  </si>
  <si>
    <t>44PIN EDGE CONNECTOR</t>
  </si>
  <si>
    <r>
      <rPr>
        <u/>
        <sz val="8"/>
        <color indexed="10"/>
        <rFont val="Segoe UI"/>
      </rPr>
      <t>http://www.ebay.com/itm/130486232450</t>
    </r>
  </si>
  <si>
    <t>VOICE BOARD</t>
  </si>
  <si>
    <t>QTY (1 CARD)</t>
  </si>
  <si>
    <t>QTY (8 CARDS)</t>
  </si>
  <si>
    <t>220uF</t>
  </si>
  <si>
    <t>C1, C2, C3, C4</t>
  </si>
  <si>
    <t>8MM DIA / 3.5 LS</t>
  </si>
  <si>
    <t>667-ECA-1VM221</t>
  </si>
  <si>
    <t>47uF</t>
  </si>
  <si>
    <t>C11, C82</t>
  </si>
  <si>
    <t>667-ECA-1CM470</t>
  </si>
  <si>
    <t>C30, C31, C42, C77, C97, C98, C109, C142</t>
  </si>
  <si>
    <t>ELECTROLYTHIC NON-POLARIZED CAPACITOR</t>
  </si>
  <si>
    <t>647-UVP1H010MDD1TD</t>
  </si>
  <si>
    <t>C5, C6, C7, C8, C12, C13, C16, C18, C20, C21, C22, C23, C24, C25, C26, C27, C35, C37, C40, C41, C46, C47, C49, C50, C55, C56, C57, C58, C60, C61, C71, C72, C73, C74, C83, C84, C87, C89, C91, C92, C93, C94, C102, C104, C107, C108, C113, C114, C116, C117, C122, C123, C125, C126, C136, C137, C138, C139</t>
  </si>
  <si>
    <t>C9, C10, C19, C80, C81, C90</t>
  </si>
  <si>
    <t>1000pF</t>
  </si>
  <si>
    <t>C14, C15, C17, C85, C86, C88</t>
  </si>
  <si>
    <t>810-FG28C0G1H102JNT6</t>
  </si>
  <si>
    <t>C33, C34, C36, C44, C45, C48, C51, C54, C62, C66, C67, C70, C75, C79, C100, C101, C103, C111, C112, C115, C118, C121, C127, C131, C132, C135, C140, C144</t>
  </si>
  <si>
    <t>180pF</t>
  </si>
  <si>
    <t>C32, C43, C99, C110</t>
  </si>
  <si>
    <t>810-FG28C0G1H181JNT6</t>
  </si>
  <si>
    <t>C52, C53, C59, C63, C64, C65, C68, C69, C76, C78, C119, C120, C124, C128, C129, C130, C133, C134, C141, C143</t>
  </si>
  <si>
    <t>1.5nF</t>
  </si>
  <si>
    <t>C28, C29, C38, C39, C95, C96, C105, C106</t>
  </si>
  <si>
    <t>80-R82EC1150AA50J</t>
  </si>
  <si>
    <t>CEM3340</t>
  </si>
  <si>
    <t>IC1, IC16</t>
  </si>
  <si>
    <t>VOLTAGE CONTROLLED OSCILLATOR</t>
  </si>
  <si>
    <r>
      <rPr>
        <u/>
        <sz val="8"/>
        <color indexed="10"/>
        <rFont val="Segoe UI"/>
      </rPr>
      <t>https://www.thonk.co.uk/shop/curtis-cem3340-ic-vco-chip/</t>
    </r>
  </si>
  <si>
    <r>
      <rPr>
        <u/>
        <sz val="8"/>
        <color indexed="10"/>
        <rFont val="Segoe UI"/>
      </rPr>
      <t>http://synthcube.com/cart/ddrm-onchip-cem3340-x-17</t>
    </r>
  </si>
  <si>
    <t>IC2, IC6, IC7, IC12, IC14, IC17, IC19, IC20, IC25, IC26</t>
  </si>
  <si>
    <t>74LS74</t>
  </si>
  <si>
    <t>IC3</t>
  </si>
  <si>
    <t>POSITIVE EDGE TRIGGERED FLIP FLOP</t>
  </si>
  <si>
    <t>595-SN74LS74AN</t>
  </si>
  <si>
    <t>DG403</t>
  </si>
  <si>
    <t>IC4</t>
  </si>
  <si>
    <t>SPDT CMOS ANALOG SWITCH</t>
  </si>
  <si>
    <t>781-DG403DJ-E3</t>
  </si>
  <si>
    <t>DG202</t>
  </si>
  <si>
    <t>IC5</t>
  </si>
  <si>
    <t>SPST CMOS ANALOG SWITCH</t>
  </si>
  <si>
    <t>781-DG202BDJ-E3</t>
  </si>
  <si>
    <t>IC8, IC11, IC21, IC24</t>
  </si>
  <si>
    <t>IC9, IC10, IC13, IC15, IC22, IC23, IC27</t>
  </si>
  <si>
    <t>2N3904</t>
  </si>
  <si>
    <t>Q1, Q2, Q3, Q4</t>
  </si>
  <si>
    <t>NPN TRANSISTOR</t>
  </si>
  <si>
    <t>610-2N3904</t>
  </si>
  <si>
    <t>4M7</t>
  </si>
  <si>
    <t>R52, R53, R67, R68, R158, R159, R173, R174</t>
  </si>
  <si>
    <t>603-MFR-25FRF52-4M7</t>
  </si>
  <si>
    <t>1M5</t>
  </si>
  <si>
    <t>R5, R111</t>
  </si>
  <si>
    <t>271-1.5M-RC</t>
  </si>
  <si>
    <t>1M2</t>
  </si>
  <si>
    <t>R60, R74, R166, R180</t>
  </si>
  <si>
    <t>603-MFR-25FRF52-1M2</t>
  </si>
  <si>
    <t>1M</t>
  </si>
  <si>
    <t>R37, R143</t>
  </si>
  <si>
    <t>271-1.0M-RC</t>
  </si>
  <si>
    <t>300K</t>
  </si>
  <si>
    <t>R6, R112</t>
  </si>
  <si>
    <t>271-300K-RC</t>
  </si>
  <si>
    <t>150K</t>
  </si>
  <si>
    <t>R56, R59, R61, R69, R162, R165, R167, R175</t>
  </si>
  <si>
    <t>271-150K-RC</t>
  </si>
  <si>
    <t>R88, R194</t>
  </si>
  <si>
    <t>107K</t>
  </si>
  <si>
    <t>R24, R130</t>
  </si>
  <si>
    <t>271-107K-RC</t>
  </si>
  <si>
    <t>R18, R28, R41, R43, R44, R46, R48, R49, R124, R134, R147, R149, R150, R152, R154, R155</t>
  </si>
  <si>
    <t>73K2</t>
  </si>
  <si>
    <t>R19, R125</t>
  </si>
  <si>
    <t>271-73.2K-RC</t>
  </si>
  <si>
    <t>R1, R17, R107, R123</t>
  </si>
  <si>
    <t>33K</t>
  </si>
  <si>
    <t>R50, R51, R54, R55, R62, R64, R65, R66, R70, R71, R75, R77, R156, R157, R160, R161, R168, R170, R171, R172, R176, R177, R181, R183</t>
  </si>
  <si>
    <t>271-33K-RC</t>
  </si>
  <si>
    <t>31K6</t>
  </si>
  <si>
    <t>R25, R131</t>
  </si>
  <si>
    <t>603-MFR-25FRF52-31K6</t>
  </si>
  <si>
    <t>R16, R78, R81, R83, R84, R85, R86, R90, R91, R92, R93, R95, R98, R99, R100, R101, R104, R105, R106, R122, R184, R187, R189, R190, R191, R192, R196, R197, R198, R199, R201, R204, R205, R206, R207, R210, R211, R212</t>
  </si>
  <si>
    <t>28K7</t>
  </si>
  <si>
    <t>R32, R138</t>
  </si>
  <si>
    <t>271-28.7K-RC</t>
  </si>
  <si>
    <t>24K9</t>
  </si>
  <si>
    <t>R20, R21, R126, R127</t>
  </si>
  <si>
    <t>271-24.9K-RC</t>
  </si>
  <si>
    <t>15K</t>
  </si>
  <si>
    <t>R94, R200</t>
  </si>
  <si>
    <t>271-15K-RC</t>
  </si>
  <si>
    <t>12K</t>
  </si>
  <si>
    <t>R42, R47, R148, R153</t>
  </si>
  <si>
    <t>271-12K-RC</t>
  </si>
  <si>
    <t>R2, R3, R4, R9, R11, R22, R23, R26, R27, R34, R38, R108, R109, R110, R115, R117, R128, R129, R132, R133, R140, R144</t>
  </si>
  <si>
    <t>8K2</t>
  </si>
  <si>
    <t>R82, R188</t>
  </si>
  <si>
    <t>271-8.2K-RC</t>
  </si>
  <si>
    <t>R33, R139</t>
  </si>
  <si>
    <t>4K99</t>
  </si>
  <si>
    <t>R30, R136</t>
  </si>
  <si>
    <t>271-4.99K-RC</t>
  </si>
  <si>
    <t>3K6</t>
  </si>
  <si>
    <t>R29, R135</t>
  </si>
  <si>
    <t>271-3.6K-RC</t>
  </si>
  <si>
    <t>2K49</t>
  </si>
  <si>
    <t>R10, R116</t>
  </si>
  <si>
    <t>271-2.49K-RC</t>
  </si>
  <si>
    <t>R13, R14, R119, R120</t>
  </si>
  <si>
    <t>R36, R142</t>
  </si>
  <si>
    <t>1K8</t>
  </si>
  <si>
    <t>R35, R141</t>
  </si>
  <si>
    <t>271-1.8K-RC</t>
  </si>
  <si>
    <t>R12, R31, R118, R137</t>
  </si>
  <si>
    <t>820R</t>
  </si>
  <si>
    <t>R39, R145</t>
  </si>
  <si>
    <t>271-820-RC</t>
  </si>
  <si>
    <t>R57, R58, R63, R72, R73, R76, R79, R80, R87, R89, R96, R97, R102, R103, R163, R164, R169, R178, R179, R182, R185, R186, R193, R195, R202, R203, R208, R209</t>
  </si>
  <si>
    <t>470R</t>
  </si>
  <si>
    <t>R7, R8, R113, R114</t>
  </si>
  <si>
    <t>271-470-RC</t>
  </si>
  <si>
    <t>390R</t>
  </si>
  <si>
    <t>R15, R121</t>
  </si>
  <si>
    <t>271-390-RC</t>
  </si>
  <si>
    <t>1N5221</t>
  </si>
  <si>
    <t>Z1, Z2, Z4, Z5, Z9, Z10, Z12, Z13</t>
  </si>
  <si>
    <t>ZENER DIODE 2.4V</t>
  </si>
  <si>
    <t>78-1N5221B</t>
  </si>
  <si>
    <t>Z3, Z6, Z7, Z8, Z11, Z14, Z15</t>
  </si>
  <si>
    <t>PSU BOARD</t>
  </si>
  <si>
    <t>C10</t>
  </si>
  <si>
    <t>100uF</t>
  </si>
  <si>
    <t>C9, C11, C12, C13, C14, C16</t>
  </si>
  <si>
    <t>8MM DIA /3.5 LS</t>
  </si>
  <si>
    <t>667-EEU-FM1H101</t>
  </si>
  <si>
    <t>C1, C2, C3, C4, C6, C7, C8</t>
  </si>
  <si>
    <t>581-SA105E104Z</t>
  </si>
  <si>
    <t>CINCON CHB75</t>
  </si>
  <si>
    <t>CINCON +12V, CINCON -12V</t>
  </si>
  <si>
    <t xml:space="preserve">12V DC-DC CONVERTER </t>
  </si>
  <si>
    <t>418-CHB75-12S12</t>
  </si>
  <si>
    <t>HEAT SINK</t>
  </si>
  <si>
    <t>418-M-C092</t>
  </si>
  <si>
    <t>THERMAL PAD</t>
  </si>
  <si>
    <t>418-G6135041091</t>
  </si>
  <si>
    <t>FUSE</t>
  </si>
  <si>
    <t>FUSE HOLDER</t>
  </si>
  <si>
    <t>534-4527</t>
  </si>
  <si>
    <t>FUSE HOLDER COVER</t>
  </si>
  <si>
    <t>534-4527C</t>
  </si>
  <si>
    <t>5A</t>
  </si>
  <si>
    <t>5A FUSE</t>
  </si>
  <si>
    <t>576-0218005.MXP</t>
  </si>
  <si>
    <t>GND</t>
  </si>
  <si>
    <t>TEST POINT</t>
  </si>
  <si>
    <t>534-5123</t>
  </si>
  <si>
    <t>R-78E5.0-0.5</t>
  </si>
  <si>
    <t>5V 0.5A VOLTAGE REGULATOR</t>
  </si>
  <si>
    <t>919-R-78E5.0-0.5</t>
  </si>
  <si>
    <t>R-78E3.3-0.5</t>
  </si>
  <si>
    <t>3.3V VOLTAGE REGULATOR</t>
  </si>
  <si>
    <t>919-R-78E3.3-0.5</t>
  </si>
  <si>
    <t>LM7905</t>
  </si>
  <si>
    <t>TO-220</t>
  </si>
  <si>
    <t>-5V VOLTAGE REGULATOR</t>
  </si>
  <si>
    <t>512-LM7905CT</t>
  </si>
  <si>
    <t>R-78E5.0-1.0</t>
  </si>
  <si>
    <t>5V 1A VOLTAGE REGULATOR</t>
  </si>
  <si>
    <t>919-R-78E5.0-1.0</t>
  </si>
  <si>
    <t>68uH</t>
  </si>
  <si>
    <t>L1</t>
  </si>
  <si>
    <t>INDUCTOR</t>
  </si>
  <si>
    <t>542-5900-680-RC</t>
  </si>
  <si>
    <t>LED1, LED2, LED3, LED4, LED6, LED7</t>
  </si>
  <si>
    <t>3MM LED</t>
  </si>
  <si>
    <t>604-WP710A10SRD/E</t>
  </si>
  <si>
    <t>MTA-2</t>
  </si>
  <si>
    <t>POWER</t>
  </si>
  <si>
    <t>MTA-156</t>
  </si>
  <si>
    <t>2PIN HEADER</t>
  </si>
  <si>
    <t>R2, R3</t>
  </si>
  <si>
    <t>300R</t>
  </si>
  <si>
    <t>R4, R6, R7</t>
  </si>
  <si>
    <t>271-300-RC</t>
  </si>
  <si>
    <t>130R</t>
  </si>
  <si>
    <t>R8</t>
  </si>
  <si>
    <t>271-130-RC</t>
  </si>
  <si>
    <t>1R</t>
  </si>
  <si>
    <t>R1</t>
  </si>
  <si>
    <t>660-MF1/4DC1R00F</t>
  </si>
  <si>
    <t>OUTPUT BOARD</t>
  </si>
  <si>
    <t>C1, C2</t>
  </si>
  <si>
    <t>5MM DIA / 2MM PITCH</t>
  </si>
  <si>
    <t>C3</t>
  </si>
  <si>
    <t>667-ECE-A0JKA101I</t>
  </si>
  <si>
    <t>C4, C5, C6</t>
  </si>
  <si>
    <t>1N914</t>
  </si>
  <si>
    <t>D1</t>
  </si>
  <si>
    <t>DIODE</t>
  </si>
  <si>
    <t>512-1N914</t>
  </si>
  <si>
    <t>DC</t>
  </si>
  <si>
    <t>2.5MM DC JACK</t>
  </si>
  <si>
    <t>502-RAPC712X</t>
  </si>
  <si>
    <t>EXPANSION, MIDI IN, MIDI THRU</t>
  </si>
  <si>
    <t>5 PIN DIN CONNECTOR</t>
  </si>
  <si>
    <t>502-57PC5F</t>
  </si>
  <si>
    <t>FAN</t>
  </si>
  <si>
    <t>MTA-100</t>
  </si>
  <si>
    <t>571-6404562</t>
  </si>
  <si>
    <t>6N138</t>
  </si>
  <si>
    <t>HIGH SPEED OPTOCOUPLER</t>
  </si>
  <si>
    <t>782-6N138</t>
  </si>
  <si>
    <t>STMPS2171MTR</t>
  </si>
  <si>
    <t>SINGLE CHANNEL POWER SWITCH</t>
  </si>
  <si>
    <t>511-STMPS2171MTR</t>
  </si>
  <si>
    <t>74HC14</t>
  </si>
  <si>
    <t>HEX SCHMITT-TRIGGER INVERTER</t>
  </si>
  <si>
    <t>595-SN74HC14N</t>
  </si>
  <si>
    <t>CD4066</t>
  </si>
  <si>
    <t>QUADBILATERAL SWITCH</t>
  </si>
  <si>
    <t>595-CD4066BE</t>
  </si>
  <si>
    <t>J1, J2</t>
  </si>
  <si>
    <t>RIGHT-ANGLED 1/4” JACK</t>
  </si>
  <si>
    <t>502-RN112BPC</t>
  </si>
  <si>
    <t>LED1</t>
  </si>
  <si>
    <t>POT1</t>
  </si>
  <si>
    <t>ANGLED POTENTIOMETER</t>
  </si>
  <si>
    <t>858-P090L01T15BR10K</t>
  </si>
  <si>
    <t>MTA-15</t>
  </si>
  <si>
    <t>R6</t>
  </si>
  <si>
    <t>R7</t>
  </si>
  <si>
    <t>680R</t>
  </si>
  <si>
    <t>271-680-RC</t>
  </si>
  <si>
    <t>330R</t>
  </si>
  <si>
    <t>R10</t>
  </si>
  <si>
    <t>271-330-RC</t>
  </si>
  <si>
    <t>270R</t>
  </si>
  <si>
    <t>271-270-RC</t>
  </si>
  <si>
    <t>R3, R4</t>
  </si>
  <si>
    <t>220R</t>
  </si>
  <si>
    <t>R9, R11, R12</t>
  </si>
  <si>
    <t>271-220-RC</t>
  </si>
  <si>
    <t>0R</t>
  </si>
  <si>
    <t>603-MFR-25FRF52-0R</t>
  </si>
  <si>
    <t>USB</t>
  </si>
  <si>
    <t>USB JACK</t>
  </si>
  <si>
    <t>538-67068-9000</t>
  </si>
  <si>
    <t>MISC</t>
  </si>
  <si>
    <t>POWER SWITCH</t>
  </si>
  <si>
    <t>611-DM22J12S205Q</t>
  </si>
  <si>
    <t>PSU BRICK</t>
  </si>
  <si>
    <t>418-TRH70A12012E01VI</t>
  </si>
  <si>
    <t>HEAT SHRINK TUBE</t>
  </si>
  <si>
    <t>5174-13161</t>
  </si>
  <si>
    <t>MTA-156 2 PIN FEMALE HEADER</t>
  </si>
  <si>
    <t>571-3-640427-2</t>
  </si>
  <si>
    <t>MTA-156 2 PIN DUST COVER</t>
  </si>
  <si>
    <t>571-640551-2</t>
  </si>
  <si>
    <t>MTA-100 2 PIN FEMALE HEADER</t>
  </si>
  <si>
    <t>571-3-640441-2</t>
  </si>
  <si>
    <t>MTA-100 2 PIN DUST COVER</t>
  </si>
  <si>
    <t>571-6405502</t>
  </si>
  <si>
    <t>COOLING FAN</t>
  </si>
  <si>
    <t>CFM-5010-03-10</t>
  </si>
  <si>
    <t>DIP8 SOCKETS</t>
  </si>
  <si>
    <r>
      <rPr>
        <u/>
        <sz val="8"/>
        <color indexed="10"/>
        <rFont val="Segoe UI"/>
      </rPr>
      <t>http://www.ebay.com/itm/291623258279</t>
    </r>
  </si>
  <si>
    <t>ST LINK PROGRAMMER</t>
  </si>
  <si>
    <t>511-ST-LINK/V2</t>
  </si>
  <si>
    <t>DIP14 SOCKETS</t>
  </si>
  <si>
    <r>
      <rPr>
        <u/>
        <sz val="8"/>
        <color indexed="10"/>
        <rFont val="Segoe UI"/>
      </rPr>
      <t>http://www.ebay.com/itm/291623283588</t>
    </r>
  </si>
  <si>
    <t>DIP16 SOCKETS</t>
  </si>
  <si>
    <r>
      <rPr>
        <u/>
        <sz val="8"/>
        <color indexed="10"/>
        <rFont val="Segoe UI"/>
      </rPr>
      <t>http://www.ebay.com/itm/291623284651</t>
    </r>
  </si>
  <si>
    <t>RED SLIDER CAP</t>
  </si>
  <si>
    <r>
      <rPr>
        <u/>
        <sz val="8"/>
        <color indexed="10"/>
        <rFont val="Segoe UI"/>
      </rPr>
      <t>http://www.microminiatures.co.uk/acatalog/Toggle_Switch_Covers.html</t>
    </r>
  </si>
  <si>
    <t>GREEN SLIDER CAP</t>
  </si>
  <si>
    <t>BLACK SLIDER CAP</t>
  </si>
  <si>
    <t>YELLOW SLIDER CAP</t>
  </si>
  <si>
    <t>GREY SLIDER CAP</t>
  </si>
  <si>
    <t>WHITE SLIDER CAP</t>
  </si>
  <si>
    <t>FRONT PANEL</t>
  </si>
  <si>
    <r>
      <rPr>
        <u/>
        <sz val="8"/>
        <color indexed="10"/>
        <rFont val="Segoe UI"/>
      </rPr>
      <t>http://siddarthianinnovations.bigcartel.com/product/deckards-dream-pre-order-front-panel-and-rack-case</t>
    </r>
  </si>
  <si>
    <t>RACK CASE</t>
  </si>
  <si>
    <t>SCREEN BEZEL</t>
  </si>
  <si>
    <t>M3x10MM BLACK PAN HEAD SCREW</t>
  </si>
  <si>
    <t>M3 NUT</t>
  </si>
  <si>
    <t>M2 4MM BLACK PAN HEAD SCREW</t>
  </si>
  <si>
    <r>
      <rPr>
        <u/>
        <sz val="8"/>
        <color indexed="10"/>
        <rFont val="Segoe UI"/>
      </rPr>
      <t>http://www.ebay.com/itm/172315654876</t>
    </r>
  </si>
  <si>
    <t>M2.5 6MM BLACK PAN HEAD SCREW</t>
  </si>
  <si>
    <t>M4 20MM BLACK PAN HEAD SCREW</t>
  </si>
  <si>
    <r>
      <rPr>
        <u/>
        <sz val="8"/>
        <color indexed="10"/>
        <rFont val="Segoe UI"/>
      </rPr>
      <t>http://www.ebay.com/itm/172123917835</t>
    </r>
  </si>
  <si>
    <t>M4 NUT</t>
  </si>
  <si>
    <r>
      <rPr>
        <u/>
        <sz val="8"/>
        <color indexed="10"/>
        <rFont val="Segoe UI"/>
      </rPr>
      <t>http://www.ebay.com/itm/182569695932</t>
    </r>
  </si>
  <si>
    <t>M2.5 MF 10MM STANDOFF</t>
  </si>
  <si>
    <r>
      <rPr>
        <u/>
        <sz val="8"/>
        <color indexed="10"/>
        <rFont val="Segoe UI"/>
      </rPr>
      <t>http://www.ebay.com/itm/182032209223</t>
    </r>
  </si>
  <si>
    <t>M2.5 FF 12MM STANDOFF</t>
  </si>
  <si>
    <r>
      <rPr>
        <u/>
        <sz val="8"/>
        <color indexed="10"/>
        <rFont val="Segoe UI"/>
      </rPr>
      <t>http://www.ebay.com/itm/272117201039</t>
    </r>
  </si>
  <si>
    <t>M2 FF 5MM STANDOFF</t>
  </si>
  <si>
    <r>
      <rPr>
        <u/>
        <sz val="8"/>
        <color indexed="10"/>
        <rFont val="Segoe UI"/>
      </rPr>
      <t>http://www.ebay.com/itm/162165536019</t>
    </r>
  </si>
  <si>
    <t>M2.5 MF 25MM STANDOFF</t>
  </si>
  <si>
    <r>
      <rPr>
        <u/>
        <sz val="8"/>
        <color indexed="10"/>
        <rFont val="Segoe UI"/>
      </rPr>
      <t>http://www.ebay.com/itm/191635004246</t>
    </r>
  </si>
  <si>
    <t>M2.5 MF 20MM STANOFF</t>
  </si>
  <si>
    <t>M2.5 FF 25MM STANOFF</t>
  </si>
  <si>
    <r>
      <rPr>
        <u/>
        <sz val="8"/>
        <color indexed="10"/>
        <rFont val="Segoe UI"/>
      </rPr>
      <t>http://www.ebay.com/itm/191634998627</t>
    </r>
  </si>
  <si>
    <t>16 PIN RIBBON CABLE</t>
  </si>
  <si>
    <r>
      <rPr>
        <u/>
        <sz val="8"/>
        <color indexed="10"/>
        <rFont val="Segoe UI"/>
      </rPr>
      <t>http://www.ebay.com/itm/191746923139</t>
    </r>
  </si>
  <si>
    <t>20 AWG WIRE</t>
  </si>
  <si>
    <r>
      <rPr>
        <u/>
        <sz val="8"/>
        <color indexed="10"/>
        <rFont val="Segoe UI"/>
      </rPr>
      <t>http://www.ebay.com/itm/371367212983</t>
    </r>
  </si>
  <si>
    <t>KNOB</t>
  </si>
  <si>
    <r>
      <rPr>
        <u/>
        <sz val="8"/>
        <color indexed="10"/>
        <rFont val="Segoe UI"/>
      </rPr>
      <t>http://smallbear-electronics.mybigcommerce.com/aluminum-black-knurled-white-index-large/</t>
    </r>
  </si>
  <si>
    <t>COOLING FAN RUBBER MOUNT SCREWS</t>
  </si>
  <si>
    <r>
      <rPr>
        <u/>
        <sz val="8"/>
        <color indexed="10"/>
        <rFont val="Segoe UI"/>
      </rPr>
      <t>http://www.ebay.com/itm/272684561646</t>
    </r>
  </si>
  <si>
    <t>USB A TO USB B ADAPTER</t>
  </si>
  <si>
    <r>
      <rPr>
        <u/>
        <sz val="8"/>
        <color indexed="10"/>
        <rFont val="Helvetica Neue"/>
      </rPr>
      <t>http://www.ebay.com/itm/112205278525</t>
    </r>
  </si>
  <si>
    <t>EPOXY GLUE</t>
  </si>
  <si>
    <t>UPDATE LOG</t>
  </si>
  <si>
    <t>REV1.0.5 ADDED USB A TO USB B ADAPTER</t>
  </si>
  <si>
    <t>REV1.0.4 CORRECTED 30K MOUSER PART # IN A VOICE CARD</t>
  </si>
  <si>
    <t>REV1.0.3 CHANGED HEAT SINK QUANTITY, C3 ON OUTPUT BOARD IS 100uF NOW</t>
  </si>
  <si>
    <t>REV1.0.2: ADDED ST LINK PROGRAMMER</t>
  </si>
  <si>
    <t>© BLACK CORPORATION G.K. – 2017 – ALL RIGHTS RESERVED.</t>
  </si>
  <si>
    <t>TME.eu</t>
  </si>
  <si>
    <t>CL21B104KBCNNNC</t>
  </si>
  <si>
    <t>TME info</t>
  </si>
  <si>
    <t>cheaper as Mouser - order 700</t>
  </si>
  <si>
    <t>Info from Patrick@dsl-man.de aka LED-man</t>
  </si>
  <si>
    <t>see line 5</t>
  </si>
  <si>
    <t>Mouser INFO</t>
  </si>
  <si>
    <t>order C0G not X7R</t>
  </si>
  <si>
    <t>not available on TME</t>
  </si>
  <si>
    <t>MC5-1N5</t>
  </si>
  <si>
    <t>DG403DJ</t>
  </si>
  <si>
    <t>order on TME</t>
  </si>
  <si>
    <t>MF0207FTE-30K</t>
  </si>
  <si>
    <t>M0.6W-100K</t>
  </si>
  <si>
    <t>M0.6W-10K</t>
  </si>
  <si>
    <t>M0.6W-1K</t>
  </si>
  <si>
    <t>MF0207FTE-499R</t>
  </si>
  <si>
    <t>C317C101J2G5TA7301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</si>
</sst>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1"/>
      <color indexed="8"/>
      <name val="Calibri"/>
    </font>
    <font>
      <b/>
      <sz val="10"/>
      <color indexed="8"/>
      <name val="Segoe UI"/>
    </font>
    <font>
      <b/>
      <sz val="9"/>
      <color indexed="8"/>
      <name val="Segoe UI"/>
    </font>
    <font>
      <b/>
      <sz val="8"/>
      <color indexed="8"/>
      <name val="Segoe UI"/>
    </font>
    <font>
      <sz val="8"/>
      <color indexed="8"/>
      <name val="Segoe UI"/>
    </font>
    <font>
      <sz val="8"/>
      <color indexed="8"/>
      <name val="Helvetica Neue"/>
    </font>
    <font>
      <sz val="8"/>
      <color indexed="8"/>
      <name val="Calibri"/>
    </font>
    <font>
      <sz val="8"/>
      <color indexed="10"/>
      <name val="Calibri"/>
    </font>
    <font>
      <u/>
      <sz val="8"/>
      <color indexed="10"/>
      <name val="Calibri"/>
    </font>
    <font>
      <sz val="8"/>
      <color indexed="10"/>
      <name val="Segoe UI"/>
    </font>
    <font>
      <u/>
      <sz val="8"/>
      <color indexed="10"/>
      <name val="Segoe UI"/>
    </font>
    <font>
      <sz val="8"/>
      <color indexed="11"/>
      <name val="Segoe UI"/>
    </font>
    <font>
      <sz val="8"/>
      <color indexed="10"/>
      <name val="Helvetica Neue"/>
    </font>
    <font>
      <u/>
      <sz val="8"/>
      <color indexed="10"/>
      <name val="Helvetica Neue"/>
    </font>
    <font>
      <b/>
      <sz val="8"/>
      <color indexed="8"/>
      <name val="Calibri"/>
    </font>
    <font>
      <u/>
      <sz val="11"/>
      <color theme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thin">
        <color indexed="1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Protection="0"/>
    <xf numFmtId="0" fontId="15" fillId="0" borderId="0" applyNumberFormat="0" applyFill="0" applyBorder="0" applyAlignment="0" applyProtection="0"/>
  </cellStyleXfs>
  <cellXfs count="66">
    <xf numFmtId="0" fontId="0" fillId="0" borderId="0" xfId="0" applyFont="1" applyAlignment="1"/>
    <xf numFmtId="0" fontId="0" fillId="0" borderId="0" xfId="0" applyNumberFormat="1" applyFont="1" applyAlignment="1"/>
    <xf numFmtId="49" fontId="3" fillId="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0" fontId="4" fillId="0" borderId="1" xfId="0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49" fontId="6" fillId="0" borderId="1" xfId="0" applyNumberFormat="1" applyFont="1" applyBorder="1" applyAlignment="1">
      <alignment vertical="center"/>
    </xf>
    <xf numFmtId="0" fontId="4" fillId="0" borderId="1" xfId="0" applyNumberFormat="1" applyFont="1" applyBorder="1" applyAlignment="1">
      <alignment vertical="center" wrapText="1"/>
    </xf>
    <xf numFmtId="0" fontId="0" fillId="0" borderId="1" xfId="0" applyFont="1" applyBorder="1" applyAlignment="1"/>
    <xf numFmtId="0" fontId="4" fillId="0" borderId="1" xfId="0" applyFont="1" applyBorder="1" applyAlignment="1">
      <alignment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center"/>
    </xf>
    <xf numFmtId="0" fontId="4" fillId="0" borderId="1" xfId="0" applyNumberFormat="1" applyFont="1" applyBorder="1" applyAlignment="1">
      <alignment vertical="center"/>
    </xf>
    <xf numFmtId="49" fontId="1" fillId="2" borderId="1" xfId="0" applyNumberFormat="1" applyFont="1" applyFill="1" applyBorder="1" applyAlignment="1">
      <alignment horizontal="left" vertical="center"/>
    </xf>
    <xf numFmtId="49" fontId="4" fillId="0" borderId="1" xfId="0" applyNumberFormat="1" applyFont="1" applyBorder="1" applyAlignment="1">
      <alignment vertical="center"/>
    </xf>
    <xf numFmtId="49" fontId="14" fillId="3" borderId="2" xfId="0" applyNumberFormat="1" applyFont="1" applyFill="1" applyBorder="1" applyAlignment="1">
      <alignment vertical="center"/>
    </xf>
    <xf numFmtId="0" fontId="0" fillId="0" borderId="2" xfId="0" applyFont="1" applyBorder="1" applyAlignment="1"/>
    <xf numFmtId="49" fontId="3" fillId="3" borderId="1" xfId="0" applyNumberFormat="1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center" wrapText="1"/>
    </xf>
    <xf numFmtId="49" fontId="4" fillId="0" borderId="4" xfId="0" applyNumberFormat="1" applyFont="1" applyBorder="1" applyAlignment="1">
      <alignment vertical="center" wrapText="1"/>
    </xf>
    <xf numFmtId="49" fontId="7" fillId="0" borderId="4" xfId="0" applyNumberFormat="1" applyFont="1" applyBorder="1" applyAlignment="1">
      <alignment vertical="center" wrapText="1"/>
    </xf>
    <xf numFmtId="49" fontId="9" fillId="0" borderId="4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49" fontId="6" fillId="0" borderId="4" xfId="0" applyNumberFormat="1" applyFont="1" applyBorder="1" applyAlignment="1">
      <alignment vertical="center" wrapText="1"/>
    </xf>
    <xf numFmtId="0" fontId="4" fillId="0" borderId="4" xfId="0" applyNumberFormat="1" applyFont="1" applyBorder="1" applyAlignment="1">
      <alignment horizontal="left" vertical="center" wrapText="1"/>
    </xf>
    <xf numFmtId="49" fontId="4" fillId="0" borderId="4" xfId="0" applyNumberFormat="1" applyFont="1" applyBorder="1" applyAlignment="1">
      <alignment horizontal="left" vertical="center"/>
    </xf>
    <xf numFmtId="49" fontId="9" fillId="0" borderId="4" xfId="0" applyNumberFormat="1" applyFont="1" applyBorder="1" applyAlignment="1">
      <alignment vertical="center"/>
    </xf>
    <xf numFmtId="49" fontId="5" fillId="0" borderId="4" xfId="0" applyNumberFormat="1" applyFont="1" applyBorder="1" applyAlignment="1">
      <alignment horizontal="left" vertical="center"/>
    </xf>
    <xf numFmtId="49" fontId="9" fillId="0" borderId="4" xfId="0" applyNumberFormat="1" applyFont="1" applyBorder="1" applyAlignment="1">
      <alignment vertical="center"/>
    </xf>
    <xf numFmtId="0" fontId="11" fillId="0" borderId="4" xfId="0" applyFont="1" applyBorder="1" applyAlignment="1"/>
    <xf numFmtId="0" fontId="0" fillId="0" borderId="4" xfId="0" applyFont="1" applyBorder="1" applyAlignment="1"/>
    <xf numFmtId="49" fontId="12" fillId="0" borderId="4" xfId="0" applyNumberFormat="1" applyFont="1" applyBorder="1" applyAlignment="1">
      <alignment horizontal="left" vertical="center"/>
    </xf>
    <xf numFmtId="0" fontId="9" fillId="0" borderId="4" xfId="0" applyFont="1" applyBorder="1" applyAlignment="1">
      <alignment vertical="center"/>
    </xf>
    <xf numFmtId="0" fontId="0" fillId="0" borderId="3" xfId="0" applyNumberFormat="1" applyFont="1" applyBorder="1" applyAlignment="1"/>
    <xf numFmtId="49" fontId="3" fillId="2" borderId="3" xfId="0" applyNumberFormat="1" applyFont="1" applyFill="1" applyBorder="1" applyAlignment="1">
      <alignment horizontal="center" vertical="center"/>
    </xf>
    <xf numFmtId="0" fontId="15" fillId="0" borderId="0" xfId="1" applyAlignment="1"/>
    <xf numFmtId="0" fontId="0" fillId="0" borderId="5" xfId="0" applyNumberFormat="1" applyFont="1" applyBorder="1" applyAlignment="1"/>
    <xf numFmtId="49" fontId="3" fillId="2" borderId="5" xfId="0" applyNumberFormat="1" applyFont="1" applyFill="1" applyBorder="1" applyAlignment="1">
      <alignment horizontal="center" vertical="center"/>
    </xf>
    <xf numFmtId="0" fontId="0" fillId="0" borderId="3" xfId="0" applyFont="1" applyBorder="1" applyAlignment="1"/>
    <xf numFmtId="49" fontId="4" fillId="0" borderId="3" xfId="0" applyNumberFormat="1" applyFont="1" applyBorder="1" applyAlignment="1">
      <alignment horizontal="left" vertical="center" wrapText="1"/>
    </xf>
    <xf numFmtId="49" fontId="5" fillId="0" borderId="3" xfId="0" applyNumberFormat="1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vertical="center" wrapText="1"/>
    </xf>
    <xf numFmtId="49" fontId="7" fillId="0" borderId="3" xfId="0" applyNumberFormat="1" applyFont="1" applyBorder="1" applyAlignment="1">
      <alignment vertical="center" wrapText="1"/>
    </xf>
    <xf numFmtId="49" fontId="9" fillId="0" borderId="3" xfId="0" applyNumberFormat="1" applyFont="1" applyBorder="1" applyAlignment="1">
      <alignment vertical="center" wrapText="1"/>
    </xf>
    <xf numFmtId="49" fontId="3" fillId="0" borderId="3" xfId="0" applyNumberFormat="1" applyFont="1" applyBorder="1" applyAlignment="1">
      <alignment vertical="center" wrapText="1"/>
    </xf>
    <xf numFmtId="49" fontId="6" fillId="0" borderId="3" xfId="0" applyNumberFormat="1" applyFont="1" applyBorder="1" applyAlignment="1">
      <alignment vertical="center" wrapText="1"/>
    </xf>
    <xf numFmtId="0" fontId="4" fillId="0" borderId="3" xfId="0" applyNumberFormat="1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left" vertical="center"/>
    </xf>
    <xf numFmtId="49" fontId="9" fillId="0" borderId="3" xfId="0" applyNumberFormat="1" applyFont="1" applyBorder="1" applyAlignment="1">
      <alignment vertical="center"/>
    </xf>
    <xf numFmtId="49" fontId="5" fillId="0" borderId="3" xfId="0" applyNumberFormat="1" applyFont="1" applyBorder="1" applyAlignment="1">
      <alignment horizontal="left" vertical="center"/>
    </xf>
    <xf numFmtId="0" fontId="11" fillId="0" borderId="3" xfId="0" applyFont="1" applyBorder="1" applyAlignment="1"/>
    <xf numFmtId="49" fontId="12" fillId="0" borderId="3" xfId="0" applyNumberFormat="1" applyFont="1" applyBorder="1" applyAlignment="1">
      <alignment horizontal="left" vertical="center"/>
    </xf>
    <xf numFmtId="0" fontId="9" fillId="0" borderId="3" xfId="0" applyFont="1" applyBorder="1" applyAlignment="1">
      <alignment vertical="center"/>
    </xf>
  </cellXfs>
  <cellStyles count="2">
    <cellStyle name="Hyperlink" xfId="1" builtinId="8"/>
    <cellStyle name="Stand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0C0C0"/>
      <rgbColor rgb="FF005392"/>
      <rgbColor rgb="FF0432FF"/>
      <rgbColor rgb="FFBBBBBB"/>
      <rgbColor rgb="FFAAAAA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onk.co.uk/shop/curtis-cem3340-ic-vco-chip/" TargetMode="External"/><Relationship Id="rId13" Type="http://schemas.openxmlformats.org/officeDocument/2006/relationships/hyperlink" Target="http://www.ebay.com/itm/291623283588" TargetMode="External"/><Relationship Id="rId18" Type="http://schemas.openxmlformats.org/officeDocument/2006/relationships/hyperlink" Target="http://www.ebay.com/itm/172315654876" TargetMode="External"/><Relationship Id="rId26" Type="http://schemas.openxmlformats.org/officeDocument/2006/relationships/hyperlink" Target="http://www.ebay.com/itm/191634998627" TargetMode="External"/><Relationship Id="rId39" Type="http://schemas.openxmlformats.org/officeDocument/2006/relationships/hyperlink" Target="https://www.tme.eu/de/details/m0.6w-100k/metallisierte-widerstaende-tht-06w/royal-ohm/mf006ff1003a50/" TargetMode="External"/><Relationship Id="rId3" Type="http://schemas.openxmlformats.org/officeDocument/2006/relationships/hyperlink" Target="http://www.ebay.com/itm/172518846641" TargetMode="External"/><Relationship Id="rId21" Type="http://schemas.openxmlformats.org/officeDocument/2006/relationships/hyperlink" Target="http://www.ebay.com/itm/182032209223" TargetMode="External"/><Relationship Id="rId34" Type="http://schemas.openxmlformats.org/officeDocument/2006/relationships/hyperlink" Target="https://www.tme.eu/de/details/cl21b104kbcnnnc/kondensatoren-mlcc-smd-0805/samsung/" TargetMode="External"/><Relationship Id="rId42" Type="http://schemas.openxmlformats.org/officeDocument/2006/relationships/hyperlink" Target="https://www.tme.eu/de/details/c317c101j2g5ta7301/kondensatoren-mlcc-tht/kemet/" TargetMode="External"/><Relationship Id="rId7" Type="http://schemas.openxmlformats.org/officeDocument/2006/relationships/hyperlink" Target="http://www.ebay.com/itm/130486232450" TargetMode="External"/><Relationship Id="rId12" Type="http://schemas.openxmlformats.org/officeDocument/2006/relationships/hyperlink" Target="http://www.ebay.com/itm/291623258279" TargetMode="External"/><Relationship Id="rId17" Type="http://schemas.openxmlformats.org/officeDocument/2006/relationships/hyperlink" Target="http://www.ebay.com/itm/172315654876" TargetMode="External"/><Relationship Id="rId25" Type="http://schemas.openxmlformats.org/officeDocument/2006/relationships/hyperlink" Target="http://www.ebay.com/itm/191635004246" TargetMode="External"/><Relationship Id="rId33" Type="http://schemas.openxmlformats.org/officeDocument/2006/relationships/hyperlink" Target="https://www.tme.eu/de/details/cl21b104kbcnnnc/kondensatoren-mlcc-smd-0805/samsung/" TargetMode="External"/><Relationship Id="rId38" Type="http://schemas.openxmlformats.org/officeDocument/2006/relationships/hyperlink" Target="https://www.tme.eu/de/details/m0.6w-100k/metallisierte-widerstaende-tht-06w/royal-ohm/mf006ff1003a50/" TargetMode="External"/><Relationship Id="rId2" Type="http://schemas.openxmlformats.org/officeDocument/2006/relationships/hyperlink" Target="http://www.ebay.com/itm/232190328351" TargetMode="External"/><Relationship Id="rId16" Type="http://schemas.openxmlformats.org/officeDocument/2006/relationships/hyperlink" Target="http://siddarthianinnovations.bigcartel.com/product/deckards-dream-pre-order-front-panel-and-rack-case" TargetMode="External"/><Relationship Id="rId20" Type="http://schemas.openxmlformats.org/officeDocument/2006/relationships/hyperlink" Target="http://www.ebay.com/itm/182569695932" TargetMode="External"/><Relationship Id="rId29" Type="http://schemas.openxmlformats.org/officeDocument/2006/relationships/hyperlink" Target="http://smallbear-electronics.mybigcommerce.com/aluminum-black-knurled-white-index-large/" TargetMode="External"/><Relationship Id="rId41" Type="http://schemas.openxmlformats.org/officeDocument/2006/relationships/hyperlink" Target="https://www.tme.eu/de/details/mf0207fte-499r/metallisierte-widerstaende-tht-06w/yageo/mf0207fte52-499r/" TargetMode="External"/><Relationship Id="rId1" Type="http://schemas.openxmlformats.org/officeDocument/2006/relationships/hyperlink" Target="http://smallbear-electronics.mybigcommerce.com/alpha-single-gang-9mm-right-angle-pc-mount/" TargetMode="External"/><Relationship Id="rId6" Type="http://schemas.openxmlformats.org/officeDocument/2006/relationships/hyperlink" Target="http://synthcube.com/cart/ddrm-60x-v2164-ic" TargetMode="External"/><Relationship Id="rId11" Type="http://schemas.openxmlformats.org/officeDocument/2006/relationships/hyperlink" Target="http://synthcube.com/cart/ddrm-60x-v2164-ic" TargetMode="External"/><Relationship Id="rId24" Type="http://schemas.openxmlformats.org/officeDocument/2006/relationships/hyperlink" Target="http://www.ebay.com/itm/191635004246" TargetMode="External"/><Relationship Id="rId32" Type="http://schemas.openxmlformats.org/officeDocument/2006/relationships/hyperlink" Target="https://www.tme.eu/de/details/cl21b104kbcnnnc/kondensatoren-mlcc-smd-0805/samsung/" TargetMode="External"/><Relationship Id="rId37" Type="http://schemas.openxmlformats.org/officeDocument/2006/relationships/hyperlink" Target="https://www.tme.eu/de/details/mf0207fte-30k/metallisierte-widerstaende-tht-06w/yageo/" TargetMode="External"/><Relationship Id="rId40" Type="http://schemas.openxmlformats.org/officeDocument/2006/relationships/hyperlink" Target="https://www.tme.eu/de/details/m0.6w-100k/metallisierte-widerstaende-tht-06w/royal-ohm/mf006ff1003a50/" TargetMode="External"/><Relationship Id="rId5" Type="http://schemas.openxmlformats.org/officeDocument/2006/relationships/hyperlink" Target="https://www.thonk.co.uk/shop/coolaudio-v2164-all/" TargetMode="External"/><Relationship Id="rId15" Type="http://schemas.openxmlformats.org/officeDocument/2006/relationships/hyperlink" Target="http://www.microminiatures.co.uk/acatalog/Toggle_Switch_Covers.html" TargetMode="External"/><Relationship Id="rId23" Type="http://schemas.openxmlformats.org/officeDocument/2006/relationships/hyperlink" Target="http://www.ebay.com/itm/162165536019" TargetMode="External"/><Relationship Id="rId28" Type="http://schemas.openxmlformats.org/officeDocument/2006/relationships/hyperlink" Target="http://www.ebay.com/itm/371367212983" TargetMode="External"/><Relationship Id="rId36" Type="http://schemas.openxmlformats.org/officeDocument/2006/relationships/hyperlink" Target="https://www.tme.eu/de/details/dg403dj/analoge-multiplexer-und-schalter/vishay/dg403dj-e3/" TargetMode="External"/><Relationship Id="rId10" Type="http://schemas.openxmlformats.org/officeDocument/2006/relationships/hyperlink" Target="https://www.thonk.co.uk/shop/coolaudio-v2164-all/" TargetMode="External"/><Relationship Id="rId19" Type="http://schemas.openxmlformats.org/officeDocument/2006/relationships/hyperlink" Target="http://www.ebay.com/itm/172123917835" TargetMode="External"/><Relationship Id="rId31" Type="http://schemas.openxmlformats.org/officeDocument/2006/relationships/hyperlink" Target="http://www.ebay.com/itm/112205278525" TargetMode="External"/><Relationship Id="rId4" Type="http://schemas.openxmlformats.org/officeDocument/2006/relationships/hyperlink" Target="http://electricdruid.net/product/pentanoise-noise-generator/" TargetMode="External"/><Relationship Id="rId9" Type="http://schemas.openxmlformats.org/officeDocument/2006/relationships/hyperlink" Target="http://synthcube.com/cart/ddrm-onchip-cem3340-x-17" TargetMode="External"/><Relationship Id="rId14" Type="http://schemas.openxmlformats.org/officeDocument/2006/relationships/hyperlink" Target="http://www.ebay.com/itm/291623284651" TargetMode="External"/><Relationship Id="rId22" Type="http://schemas.openxmlformats.org/officeDocument/2006/relationships/hyperlink" Target="http://www.ebay.com/itm/272117201039" TargetMode="External"/><Relationship Id="rId27" Type="http://schemas.openxmlformats.org/officeDocument/2006/relationships/hyperlink" Target="http://www.ebay.com/itm/191746923139" TargetMode="External"/><Relationship Id="rId30" Type="http://schemas.openxmlformats.org/officeDocument/2006/relationships/hyperlink" Target="http://www.ebay.com/itm/272684561646" TargetMode="External"/><Relationship Id="rId35" Type="http://schemas.openxmlformats.org/officeDocument/2006/relationships/hyperlink" Target="https://www.tme.eu/de/details/mc5-1n5/polyesterkondensatoren-tht/kemet/r82ec1150dq50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237"/>
  <sheetViews>
    <sheetView showGridLines="0" tabSelected="1" topLeftCell="A76" workbookViewId="0">
      <selection activeCell="I90" sqref="I90"/>
    </sheetView>
  </sheetViews>
  <sheetFormatPr baseColWidth="10" defaultColWidth="8.85546875" defaultRowHeight="14.25" customHeight="1"/>
  <cols>
    <col min="1" max="1" width="14" style="1" customWidth="1"/>
    <col min="2" max="2" width="45.28515625" style="1" customWidth="1"/>
    <col min="3" max="3" width="10" style="1" customWidth="1"/>
    <col min="4" max="4" width="10.85546875" style="1" customWidth="1"/>
    <col min="5" max="5" width="15.140625" style="1" customWidth="1"/>
    <col min="6" max="6" width="31.7109375" style="1" customWidth="1"/>
    <col min="7" max="7" width="64.28515625" style="1" customWidth="1"/>
    <col min="8" max="8" width="22.140625" style="46" customWidth="1"/>
    <col min="9" max="9" width="22.42578125" style="49" customWidth="1"/>
    <col min="10" max="10" width="20.5703125" style="46" customWidth="1"/>
    <col min="11" max="257" width="8.85546875" style="1" customWidth="1"/>
  </cols>
  <sheetData>
    <row r="1" spans="1:10" ht="15" customHeight="1">
      <c r="A1" s="23" t="s">
        <v>0</v>
      </c>
      <c r="B1" s="18"/>
      <c r="C1" s="18"/>
      <c r="D1" s="18"/>
      <c r="E1" s="18"/>
      <c r="F1" s="18"/>
      <c r="G1" s="18"/>
      <c r="H1" s="51"/>
    </row>
    <row r="2" spans="1:10" ht="15" customHeight="1">
      <c r="A2" s="21" t="s">
        <v>1</v>
      </c>
      <c r="B2" s="18"/>
      <c r="C2" s="18"/>
      <c r="D2" s="18"/>
      <c r="E2" s="18"/>
      <c r="F2" s="18"/>
      <c r="G2" s="18"/>
      <c r="H2" s="46" t="s">
        <v>572</v>
      </c>
    </row>
    <row r="3" spans="1:10" ht="14.65" customHeight="1">
      <c r="A3" s="2" t="s">
        <v>2</v>
      </c>
      <c r="B3" s="2" t="s">
        <v>3</v>
      </c>
      <c r="C3" s="20" t="s">
        <v>4</v>
      </c>
      <c r="D3" s="18"/>
      <c r="E3" s="2" t="s">
        <v>5</v>
      </c>
      <c r="F3" s="2" t="s">
        <v>6</v>
      </c>
      <c r="G3" s="29" t="s">
        <v>7</v>
      </c>
      <c r="H3" s="47" t="s">
        <v>574</v>
      </c>
      <c r="I3" s="50" t="s">
        <v>568</v>
      </c>
      <c r="J3" s="47" t="s">
        <v>570</v>
      </c>
    </row>
    <row r="4" spans="1:10" ht="15" customHeight="1">
      <c r="A4" s="3" t="s">
        <v>8</v>
      </c>
      <c r="B4" s="3" t="s">
        <v>9</v>
      </c>
      <c r="C4" s="17">
        <v>2</v>
      </c>
      <c r="D4" s="18"/>
      <c r="E4" s="3" t="s">
        <v>10</v>
      </c>
      <c r="F4" s="3" t="s">
        <v>11</v>
      </c>
      <c r="G4" s="30" t="s">
        <v>12</v>
      </c>
      <c r="H4" s="52"/>
    </row>
    <row r="5" spans="1:10" ht="72.75" customHeight="1">
      <c r="A5" s="3" t="s">
        <v>13</v>
      </c>
      <c r="B5" s="3" t="s">
        <v>14</v>
      </c>
      <c r="C5" s="17">
        <v>99</v>
      </c>
      <c r="D5" s="18"/>
      <c r="E5" s="3" t="s">
        <v>15</v>
      </c>
      <c r="F5" s="3" t="s">
        <v>16</v>
      </c>
      <c r="G5" s="31" t="s">
        <v>17</v>
      </c>
      <c r="H5" s="53"/>
      <c r="I5" s="48" t="s">
        <v>569</v>
      </c>
      <c r="J5" s="46" t="s">
        <v>571</v>
      </c>
    </row>
    <row r="6" spans="1:10" ht="15" customHeight="1">
      <c r="A6" s="3" t="s">
        <v>18</v>
      </c>
      <c r="B6" s="3" t="s">
        <v>19</v>
      </c>
      <c r="C6" s="17">
        <v>10</v>
      </c>
      <c r="D6" s="18"/>
      <c r="E6" s="3" t="s">
        <v>20</v>
      </c>
      <c r="F6" s="7" t="s">
        <v>21</v>
      </c>
      <c r="G6" s="30" t="s">
        <v>22</v>
      </c>
      <c r="H6" s="52"/>
    </row>
    <row r="7" spans="1:10" ht="22.7" customHeight="1">
      <c r="A7" s="3" t="s">
        <v>23</v>
      </c>
      <c r="B7" s="3" t="s">
        <v>24</v>
      </c>
      <c r="C7" s="17">
        <v>5</v>
      </c>
      <c r="D7" s="18"/>
      <c r="E7" s="3" t="s">
        <v>20</v>
      </c>
      <c r="F7" s="7" t="s">
        <v>25</v>
      </c>
      <c r="G7" s="30" t="s">
        <v>26</v>
      </c>
      <c r="H7" s="52"/>
    </row>
    <row r="8" spans="1:10" ht="15" customHeight="1">
      <c r="A8" s="8"/>
      <c r="B8" s="3" t="s">
        <v>27</v>
      </c>
      <c r="C8" s="17">
        <v>1</v>
      </c>
      <c r="D8" s="18"/>
      <c r="E8" s="3" t="s">
        <v>28</v>
      </c>
      <c r="F8" s="3" t="s">
        <v>29</v>
      </c>
      <c r="G8" s="30" t="s">
        <v>30</v>
      </c>
      <c r="H8" s="52"/>
    </row>
    <row r="9" spans="1:10" ht="15" customHeight="1">
      <c r="A9" s="8"/>
      <c r="B9" s="3" t="s">
        <v>31</v>
      </c>
      <c r="C9" s="17">
        <v>1</v>
      </c>
      <c r="D9" s="18"/>
      <c r="E9" s="3" t="s">
        <v>32</v>
      </c>
      <c r="F9" s="3" t="s">
        <v>33</v>
      </c>
      <c r="G9" s="30" t="s">
        <v>34</v>
      </c>
      <c r="H9" s="52"/>
    </row>
    <row r="10" spans="1:10" ht="15" customHeight="1">
      <c r="A10" s="3" t="s">
        <v>35</v>
      </c>
      <c r="B10" s="3" t="s">
        <v>36</v>
      </c>
      <c r="C10" s="17">
        <v>11</v>
      </c>
      <c r="D10" s="18"/>
      <c r="E10" s="9"/>
      <c r="F10" s="3" t="s">
        <v>37</v>
      </c>
      <c r="G10" s="32" t="s">
        <v>38</v>
      </c>
      <c r="H10" s="54"/>
    </row>
    <row r="11" spans="1:10" ht="15" customHeight="1">
      <c r="A11" s="3" t="s">
        <v>39</v>
      </c>
      <c r="B11" s="3" t="s">
        <v>40</v>
      </c>
      <c r="C11" s="17">
        <v>11</v>
      </c>
      <c r="D11" s="18"/>
      <c r="E11" s="9"/>
      <c r="F11" s="3" t="s">
        <v>37</v>
      </c>
      <c r="G11" s="32" t="s">
        <v>41</v>
      </c>
      <c r="H11" s="54"/>
    </row>
    <row r="12" spans="1:10" ht="15" customHeight="1">
      <c r="A12" s="3" t="s">
        <v>42</v>
      </c>
      <c r="B12" s="3" t="s">
        <v>43</v>
      </c>
      <c r="C12" s="17">
        <v>10</v>
      </c>
      <c r="D12" s="18"/>
      <c r="E12" s="9"/>
      <c r="F12" s="3" t="s">
        <v>37</v>
      </c>
      <c r="G12" s="32" t="s">
        <v>44</v>
      </c>
      <c r="H12" s="54"/>
    </row>
    <row r="13" spans="1:10" ht="15" customHeight="1">
      <c r="A13" s="8"/>
      <c r="B13" s="3" t="s">
        <v>45</v>
      </c>
      <c r="C13" s="17">
        <v>4</v>
      </c>
      <c r="D13" s="18"/>
      <c r="E13" s="9"/>
      <c r="F13" s="3" t="s">
        <v>46</v>
      </c>
      <c r="G13" s="30" t="s">
        <v>47</v>
      </c>
      <c r="H13" s="52"/>
    </row>
    <row r="14" spans="1:10" ht="15" customHeight="1">
      <c r="A14" s="8"/>
      <c r="B14" s="3" t="s">
        <v>48</v>
      </c>
      <c r="C14" s="17">
        <v>1</v>
      </c>
      <c r="D14" s="18"/>
      <c r="E14" s="9"/>
      <c r="F14" s="3" t="s">
        <v>49</v>
      </c>
      <c r="G14" s="30" t="s">
        <v>50</v>
      </c>
      <c r="H14" s="52"/>
    </row>
    <row r="15" spans="1:10" ht="15" customHeight="1">
      <c r="A15" s="8"/>
      <c r="B15" s="3" t="s">
        <v>51</v>
      </c>
      <c r="C15" s="17">
        <v>51</v>
      </c>
      <c r="D15" s="18"/>
      <c r="E15" s="8"/>
      <c r="F15" s="6" t="s">
        <v>52</v>
      </c>
      <c r="G15" s="31" t="s">
        <v>53</v>
      </c>
      <c r="H15" s="53"/>
    </row>
    <row r="16" spans="1:10" ht="15" customHeight="1">
      <c r="A16" s="8"/>
      <c r="B16" s="3" t="s">
        <v>51</v>
      </c>
      <c r="C16" s="17">
        <v>10</v>
      </c>
      <c r="D16" s="18"/>
      <c r="E16" s="8"/>
      <c r="F16" s="6" t="s">
        <v>54</v>
      </c>
      <c r="G16" s="30" t="s">
        <v>55</v>
      </c>
      <c r="H16" s="52"/>
    </row>
    <row r="17" spans="1:10" ht="22.7" customHeight="1">
      <c r="A17" s="8"/>
      <c r="B17" s="3" t="s">
        <v>51</v>
      </c>
      <c r="C17" s="17">
        <v>9</v>
      </c>
      <c r="D17" s="18"/>
      <c r="E17" s="8"/>
      <c r="F17" s="6" t="s">
        <v>56</v>
      </c>
      <c r="G17" s="30" t="s">
        <v>57</v>
      </c>
      <c r="H17" s="52"/>
    </row>
    <row r="18" spans="1:10" ht="15" customHeight="1">
      <c r="A18" s="8"/>
      <c r="B18" s="3" t="s">
        <v>51</v>
      </c>
      <c r="C18" s="17">
        <v>1</v>
      </c>
      <c r="D18" s="18"/>
      <c r="E18" s="9"/>
      <c r="F18" s="3" t="s">
        <v>58</v>
      </c>
      <c r="G18" s="33" t="s">
        <v>59</v>
      </c>
      <c r="H18" s="55"/>
    </row>
    <row r="19" spans="1:10" ht="15" customHeight="1">
      <c r="A19" s="9"/>
      <c r="B19" s="3" t="s">
        <v>60</v>
      </c>
      <c r="C19" s="17">
        <v>5</v>
      </c>
      <c r="D19" s="18"/>
      <c r="E19" s="3" t="s">
        <v>61</v>
      </c>
      <c r="F19" s="3" t="s">
        <v>62</v>
      </c>
      <c r="G19" s="34" t="s">
        <v>63</v>
      </c>
      <c r="H19" s="56"/>
    </row>
    <row r="20" spans="1:10" ht="22.7" customHeight="1">
      <c r="A20" s="8"/>
      <c r="B20" s="3" t="s">
        <v>64</v>
      </c>
      <c r="C20" s="17">
        <v>1</v>
      </c>
      <c r="D20" s="18"/>
      <c r="E20" s="8"/>
      <c r="F20" s="10" t="s">
        <v>65</v>
      </c>
      <c r="G20" s="34" t="s">
        <v>66</v>
      </c>
      <c r="H20" s="56"/>
    </row>
    <row r="21" spans="1:10" ht="15" customHeight="1">
      <c r="A21" s="19"/>
      <c r="B21" s="18"/>
      <c r="C21" s="18"/>
      <c r="D21" s="18"/>
      <c r="E21" s="18"/>
      <c r="F21" s="18"/>
      <c r="G21" s="18"/>
      <c r="H21" s="51"/>
    </row>
    <row r="22" spans="1:10" ht="15" customHeight="1">
      <c r="A22" s="21" t="s">
        <v>67</v>
      </c>
      <c r="B22" s="18"/>
      <c r="C22" s="18"/>
      <c r="D22" s="18"/>
      <c r="E22" s="18"/>
      <c r="F22" s="18"/>
      <c r="G22" s="18"/>
      <c r="H22" s="21"/>
      <c r="I22" s="18"/>
      <c r="J22" s="18"/>
    </row>
    <row r="23" spans="1:10" ht="14.65" customHeight="1">
      <c r="A23" s="2" t="s">
        <v>2</v>
      </c>
      <c r="B23" s="2" t="s">
        <v>3</v>
      </c>
      <c r="C23" s="20" t="s">
        <v>4</v>
      </c>
      <c r="D23" s="18"/>
      <c r="E23" s="2" t="s">
        <v>5</v>
      </c>
      <c r="F23" s="2" t="s">
        <v>6</v>
      </c>
      <c r="G23" s="29" t="s">
        <v>7</v>
      </c>
      <c r="H23" s="47"/>
      <c r="I23" s="21"/>
      <c r="J23" s="18"/>
    </row>
    <row r="24" spans="1:10" ht="15" customHeight="1">
      <c r="A24" s="8"/>
      <c r="B24" s="3" t="s">
        <v>68</v>
      </c>
      <c r="C24" s="17">
        <v>1</v>
      </c>
      <c r="D24" s="18"/>
      <c r="E24" s="3" t="s">
        <v>69</v>
      </c>
      <c r="F24" s="3" t="s">
        <v>70</v>
      </c>
      <c r="G24" s="30" t="s">
        <v>71</v>
      </c>
      <c r="H24" s="52"/>
    </row>
    <row r="25" spans="1:10" ht="15" customHeight="1">
      <c r="A25" s="3" t="s">
        <v>72</v>
      </c>
      <c r="B25" s="3" t="s">
        <v>73</v>
      </c>
      <c r="C25" s="17">
        <v>4</v>
      </c>
      <c r="D25" s="18"/>
      <c r="E25" s="3" t="s">
        <v>74</v>
      </c>
      <c r="F25" s="3" t="s">
        <v>11</v>
      </c>
      <c r="G25" s="30" t="s">
        <v>75</v>
      </c>
      <c r="H25" s="52"/>
    </row>
    <row r="26" spans="1:10" ht="22.7" customHeight="1">
      <c r="A26" s="3" t="s">
        <v>8</v>
      </c>
      <c r="B26" s="3" t="s">
        <v>76</v>
      </c>
      <c r="C26" s="17">
        <v>16</v>
      </c>
      <c r="D26" s="18"/>
      <c r="E26" s="3" t="s">
        <v>10</v>
      </c>
      <c r="F26" s="3" t="s">
        <v>11</v>
      </c>
      <c r="G26" s="30" t="s">
        <v>12</v>
      </c>
      <c r="H26" s="52"/>
    </row>
    <row r="27" spans="1:10" ht="92.85" customHeight="1">
      <c r="A27" s="3" t="s">
        <v>13</v>
      </c>
      <c r="B27" s="3" t="s">
        <v>77</v>
      </c>
      <c r="C27" s="17">
        <v>102</v>
      </c>
      <c r="D27" s="18"/>
      <c r="E27" s="3" t="s">
        <v>15</v>
      </c>
      <c r="F27" s="3" t="s">
        <v>16</v>
      </c>
      <c r="G27" s="31" t="s">
        <v>17</v>
      </c>
      <c r="H27" s="53"/>
      <c r="I27" s="48" t="s">
        <v>569</v>
      </c>
      <c r="J27" s="46" t="s">
        <v>573</v>
      </c>
    </row>
    <row r="28" spans="1:10" ht="42.75" customHeight="1">
      <c r="A28" s="3" t="s">
        <v>78</v>
      </c>
      <c r="B28" s="3" t="s">
        <v>79</v>
      </c>
      <c r="C28" s="17">
        <v>43</v>
      </c>
      <c r="D28" s="18"/>
      <c r="E28" s="3" t="s">
        <v>80</v>
      </c>
      <c r="F28" s="3" t="s">
        <v>16</v>
      </c>
      <c r="G28" s="30" t="s">
        <v>81</v>
      </c>
      <c r="H28" s="52"/>
    </row>
    <row r="29" spans="1:10" ht="15" customHeight="1">
      <c r="A29" s="3" t="s">
        <v>82</v>
      </c>
      <c r="B29" s="3" t="s">
        <v>83</v>
      </c>
      <c r="C29" s="17">
        <v>4</v>
      </c>
      <c r="D29" s="18"/>
      <c r="E29" s="3" t="s">
        <v>80</v>
      </c>
      <c r="F29" s="3" t="s">
        <v>16</v>
      </c>
      <c r="G29" s="30" t="s">
        <v>84</v>
      </c>
      <c r="H29" s="52"/>
    </row>
    <row r="30" spans="1:10" ht="15" customHeight="1">
      <c r="A30" s="3" t="s">
        <v>85</v>
      </c>
      <c r="B30" s="3" t="s">
        <v>86</v>
      </c>
      <c r="C30" s="17">
        <v>3</v>
      </c>
      <c r="D30" s="18"/>
      <c r="E30" s="3" t="s">
        <v>80</v>
      </c>
      <c r="F30" s="3" t="s">
        <v>16</v>
      </c>
      <c r="G30" s="30" t="s">
        <v>87</v>
      </c>
      <c r="H30" s="52"/>
    </row>
    <row r="31" spans="1:10" ht="52.7" customHeight="1">
      <c r="A31" s="3" t="s">
        <v>88</v>
      </c>
      <c r="B31" s="3" t="s">
        <v>89</v>
      </c>
      <c r="C31" s="17">
        <v>47</v>
      </c>
      <c r="D31" s="18"/>
      <c r="E31" s="3" t="s">
        <v>80</v>
      </c>
      <c r="F31" s="3" t="s">
        <v>16</v>
      </c>
      <c r="G31" s="30" t="s">
        <v>90</v>
      </c>
      <c r="H31" s="52"/>
    </row>
    <row r="32" spans="1:10" ht="22.7" customHeight="1">
      <c r="A32" s="3" t="s">
        <v>91</v>
      </c>
      <c r="B32" s="3" t="s">
        <v>92</v>
      </c>
      <c r="C32" s="17">
        <v>17</v>
      </c>
      <c r="D32" s="18"/>
      <c r="E32" s="3" t="s">
        <v>80</v>
      </c>
      <c r="F32" s="3" t="s">
        <v>16</v>
      </c>
      <c r="G32" s="30" t="s">
        <v>93</v>
      </c>
      <c r="H32" s="52"/>
    </row>
    <row r="33" spans="1:8" ht="22.7" customHeight="1">
      <c r="A33" s="3" t="s">
        <v>94</v>
      </c>
      <c r="B33" s="3" t="s">
        <v>95</v>
      </c>
      <c r="C33" s="17">
        <v>13</v>
      </c>
      <c r="D33" s="18"/>
      <c r="E33" s="3" t="s">
        <v>80</v>
      </c>
      <c r="F33" s="3" t="s">
        <v>16</v>
      </c>
      <c r="G33" s="30" t="s">
        <v>96</v>
      </c>
      <c r="H33" s="52"/>
    </row>
    <row r="34" spans="1:8" ht="52.7" customHeight="1">
      <c r="A34" s="3" t="s">
        <v>97</v>
      </c>
      <c r="B34" s="3" t="s">
        <v>98</v>
      </c>
      <c r="C34" s="17">
        <v>52</v>
      </c>
      <c r="D34" s="18"/>
      <c r="E34" s="3" t="s">
        <v>80</v>
      </c>
      <c r="F34" s="3" t="s">
        <v>16</v>
      </c>
      <c r="G34" s="30" t="s">
        <v>99</v>
      </c>
      <c r="H34" s="52"/>
    </row>
    <row r="35" spans="1:8" ht="15" customHeight="1">
      <c r="A35" s="3" t="s">
        <v>100</v>
      </c>
      <c r="B35" s="3" t="s">
        <v>101</v>
      </c>
      <c r="C35" s="17">
        <v>2</v>
      </c>
      <c r="D35" s="18"/>
      <c r="E35" s="3" t="s">
        <v>80</v>
      </c>
      <c r="F35" s="3" t="s">
        <v>16</v>
      </c>
      <c r="G35" s="30" t="s">
        <v>102</v>
      </c>
      <c r="H35" s="52"/>
    </row>
    <row r="36" spans="1:8" ht="15" customHeight="1">
      <c r="A36" s="3" t="s">
        <v>85</v>
      </c>
      <c r="B36" s="3" t="s">
        <v>103</v>
      </c>
      <c r="C36" s="17">
        <v>2</v>
      </c>
      <c r="D36" s="18"/>
      <c r="E36" s="3" t="s">
        <v>80</v>
      </c>
      <c r="F36" s="3" t="s">
        <v>104</v>
      </c>
      <c r="G36" s="30" t="s">
        <v>105</v>
      </c>
      <c r="H36" s="52"/>
    </row>
    <row r="37" spans="1:8" ht="15" customHeight="1">
      <c r="A37" s="3" t="s">
        <v>106</v>
      </c>
      <c r="B37" s="3" t="s">
        <v>107</v>
      </c>
      <c r="C37" s="17">
        <v>1</v>
      </c>
      <c r="D37" s="18"/>
      <c r="E37" s="3" t="s">
        <v>80</v>
      </c>
      <c r="F37" s="3" t="s">
        <v>104</v>
      </c>
      <c r="G37" s="30" t="s">
        <v>108</v>
      </c>
      <c r="H37" s="52"/>
    </row>
    <row r="38" spans="1:8" ht="15" customHeight="1">
      <c r="A38" s="3" t="s">
        <v>109</v>
      </c>
      <c r="B38" s="3" t="s">
        <v>110</v>
      </c>
      <c r="C38" s="17">
        <v>1</v>
      </c>
      <c r="D38" s="18"/>
      <c r="E38" s="3" t="s">
        <v>80</v>
      </c>
      <c r="F38" s="3" t="s">
        <v>104</v>
      </c>
      <c r="G38" s="30" t="s">
        <v>111</v>
      </c>
      <c r="H38" s="52"/>
    </row>
    <row r="39" spans="1:8" ht="15" customHeight="1">
      <c r="A39" s="3" t="s">
        <v>112</v>
      </c>
      <c r="B39" s="3" t="s">
        <v>113</v>
      </c>
      <c r="C39" s="17">
        <v>2</v>
      </c>
      <c r="D39" s="18"/>
      <c r="E39" s="3" t="s">
        <v>114</v>
      </c>
      <c r="F39" s="3" t="s">
        <v>115</v>
      </c>
      <c r="G39" s="30" t="s">
        <v>116</v>
      </c>
      <c r="H39" s="52"/>
    </row>
    <row r="40" spans="1:8" ht="15" customHeight="1">
      <c r="A40" s="5" t="s">
        <v>117</v>
      </c>
      <c r="B40" s="3" t="s">
        <v>118</v>
      </c>
      <c r="C40" s="17">
        <v>1</v>
      </c>
      <c r="D40" s="18"/>
      <c r="E40" s="5" t="s">
        <v>119</v>
      </c>
      <c r="F40" s="3" t="s">
        <v>120</v>
      </c>
      <c r="G40" s="35" t="s">
        <v>121</v>
      </c>
      <c r="H40" s="57"/>
    </row>
    <row r="41" spans="1:8" ht="15" customHeight="1">
      <c r="A41" s="3" t="s">
        <v>122</v>
      </c>
      <c r="B41" s="3" t="s">
        <v>123</v>
      </c>
      <c r="C41" s="17">
        <v>1</v>
      </c>
      <c r="D41" s="18"/>
      <c r="E41" s="3" t="s">
        <v>124</v>
      </c>
      <c r="F41" s="3" t="s">
        <v>125</v>
      </c>
      <c r="G41" s="35" t="s">
        <v>121</v>
      </c>
      <c r="H41" s="57"/>
    </row>
    <row r="42" spans="1:8" ht="15" customHeight="1">
      <c r="A42" s="3" t="s">
        <v>126</v>
      </c>
      <c r="B42" s="3" t="s">
        <v>127</v>
      </c>
      <c r="C42" s="17">
        <v>4</v>
      </c>
      <c r="D42" s="18"/>
      <c r="E42" s="3" t="s">
        <v>128</v>
      </c>
      <c r="F42" s="3" t="s">
        <v>129</v>
      </c>
      <c r="G42" s="35" t="s">
        <v>121</v>
      </c>
      <c r="H42" s="57"/>
    </row>
    <row r="43" spans="1:8" ht="15" customHeight="1">
      <c r="A43" s="3" t="s">
        <v>130</v>
      </c>
      <c r="B43" s="3" t="s">
        <v>131</v>
      </c>
      <c r="C43" s="17">
        <v>10</v>
      </c>
      <c r="D43" s="18"/>
      <c r="E43" s="3" t="s">
        <v>132</v>
      </c>
      <c r="F43" s="5" t="s">
        <v>133</v>
      </c>
      <c r="G43" s="35" t="s">
        <v>121</v>
      </c>
      <c r="H43" s="57"/>
    </row>
    <row r="44" spans="1:8" ht="15" customHeight="1">
      <c r="A44" s="3" t="s">
        <v>134</v>
      </c>
      <c r="B44" s="3" t="s">
        <v>135</v>
      </c>
      <c r="C44" s="17">
        <v>1</v>
      </c>
      <c r="D44" s="18"/>
      <c r="E44" s="3" t="s">
        <v>124</v>
      </c>
      <c r="F44" s="7" t="s">
        <v>136</v>
      </c>
      <c r="G44" s="35" t="s">
        <v>121</v>
      </c>
      <c r="H44" s="57"/>
    </row>
    <row r="45" spans="1:8" ht="15" customHeight="1">
      <c r="A45" s="3" t="s">
        <v>18</v>
      </c>
      <c r="B45" s="3" t="s">
        <v>137</v>
      </c>
      <c r="C45" s="17">
        <v>2</v>
      </c>
      <c r="D45" s="18"/>
      <c r="E45" s="3" t="s">
        <v>20</v>
      </c>
      <c r="F45" s="7" t="s">
        <v>21</v>
      </c>
      <c r="G45" s="30" t="s">
        <v>22</v>
      </c>
      <c r="H45" s="52"/>
    </row>
    <row r="46" spans="1:8" ht="15" customHeight="1">
      <c r="A46" s="3" t="s">
        <v>138</v>
      </c>
      <c r="B46" s="3" t="s">
        <v>139</v>
      </c>
      <c r="C46" s="17">
        <v>4</v>
      </c>
      <c r="D46" s="18"/>
      <c r="E46" s="3" t="s">
        <v>140</v>
      </c>
      <c r="F46" s="3" t="s">
        <v>141</v>
      </c>
      <c r="G46" s="30" t="s">
        <v>142</v>
      </c>
      <c r="H46" s="52"/>
    </row>
    <row r="47" spans="1:8" ht="15" customHeight="1">
      <c r="A47" s="3" t="s">
        <v>143</v>
      </c>
      <c r="B47" s="3" t="s">
        <v>144</v>
      </c>
      <c r="C47" s="17">
        <v>1</v>
      </c>
      <c r="D47" s="18"/>
      <c r="E47" s="3" t="s">
        <v>140</v>
      </c>
      <c r="F47" s="3" t="s">
        <v>145</v>
      </c>
      <c r="G47" s="34" t="s">
        <v>146</v>
      </c>
      <c r="H47" s="56"/>
    </row>
    <row r="48" spans="1:8" ht="15" customHeight="1">
      <c r="A48" s="3" t="s">
        <v>147</v>
      </c>
      <c r="B48" s="3" t="s">
        <v>148</v>
      </c>
      <c r="C48" s="17">
        <v>2</v>
      </c>
      <c r="D48" s="18"/>
      <c r="E48" s="3" t="s">
        <v>149</v>
      </c>
      <c r="F48" s="3" t="s">
        <v>150</v>
      </c>
      <c r="G48" s="30" t="s">
        <v>151</v>
      </c>
      <c r="H48" s="52"/>
    </row>
    <row r="49" spans="1:8" ht="22.7" customHeight="1">
      <c r="A49" s="3" t="s">
        <v>152</v>
      </c>
      <c r="B49" s="3" t="s">
        <v>153</v>
      </c>
      <c r="C49" s="17">
        <v>17</v>
      </c>
      <c r="D49" s="18"/>
      <c r="E49" s="3" t="s">
        <v>154</v>
      </c>
      <c r="F49" s="3" t="s">
        <v>155</v>
      </c>
      <c r="G49" s="30" t="s">
        <v>156</v>
      </c>
      <c r="H49" s="52"/>
    </row>
    <row r="50" spans="1:8" ht="15" customHeight="1">
      <c r="A50" s="3" t="s">
        <v>157</v>
      </c>
      <c r="B50" s="3" t="s">
        <v>158</v>
      </c>
      <c r="C50" s="17">
        <v>3</v>
      </c>
      <c r="D50" s="18"/>
      <c r="E50" s="3" t="s">
        <v>20</v>
      </c>
      <c r="F50" s="3" t="s">
        <v>159</v>
      </c>
      <c r="G50" s="34" t="s">
        <v>160</v>
      </c>
      <c r="H50" s="56"/>
    </row>
    <row r="51" spans="1:8" ht="15" customHeight="1">
      <c r="A51" s="19"/>
      <c r="B51" s="18"/>
      <c r="C51" s="18"/>
      <c r="D51" s="18"/>
      <c r="E51" s="18"/>
      <c r="F51" s="18"/>
      <c r="G51" s="34" t="s">
        <v>161</v>
      </c>
      <c r="H51" s="56"/>
    </row>
    <row r="52" spans="1:8" ht="15" customHeight="1">
      <c r="A52" s="3" t="s">
        <v>162</v>
      </c>
      <c r="B52" s="3" t="s">
        <v>163</v>
      </c>
      <c r="C52" s="17">
        <v>1</v>
      </c>
      <c r="D52" s="18"/>
      <c r="E52" s="3" t="s">
        <v>149</v>
      </c>
      <c r="F52" s="7" t="s">
        <v>164</v>
      </c>
      <c r="G52" s="30" t="s">
        <v>165</v>
      </c>
      <c r="H52" s="52"/>
    </row>
    <row r="53" spans="1:8" ht="15" customHeight="1">
      <c r="A53" s="3" t="s">
        <v>28</v>
      </c>
      <c r="B53" s="3" t="s">
        <v>166</v>
      </c>
      <c r="C53" s="17">
        <v>1</v>
      </c>
      <c r="D53" s="18"/>
      <c r="E53" s="3" t="s">
        <v>167</v>
      </c>
      <c r="F53" s="3" t="s">
        <v>168</v>
      </c>
      <c r="G53" s="30" t="s">
        <v>169</v>
      </c>
      <c r="H53" s="52"/>
    </row>
    <row r="54" spans="1:8" ht="15" customHeight="1">
      <c r="A54" s="3" t="s">
        <v>32</v>
      </c>
      <c r="B54" s="3" t="s">
        <v>170</v>
      </c>
      <c r="C54" s="17">
        <v>1</v>
      </c>
      <c r="D54" s="18"/>
      <c r="E54" s="3" t="s">
        <v>171</v>
      </c>
      <c r="F54" s="3" t="s">
        <v>172</v>
      </c>
      <c r="G54" s="30" t="s">
        <v>173</v>
      </c>
      <c r="H54" s="52"/>
    </row>
    <row r="55" spans="1:8" ht="15" customHeight="1">
      <c r="A55" s="3" t="s">
        <v>174</v>
      </c>
      <c r="B55" s="3" t="s">
        <v>175</v>
      </c>
      <c r="C55" s="17">
        <v>1</v>
      </c>
      <c r="D55" s="18"/>
      <c r="E55" s="3" t="s">
        <v>176</v>
      </c>
      <c r="F55" s="5" t="s">
        <v>177</v>
      </c>
      <c r="G55" s="35" t="s">
        <v>121</v>
      </c>
      <c r="H55" s="57"/>
    </row>
    <row r="56" spans="1:8" ht="15" customHeight="1">
      <c r="A56" s="3" t="s">
        <v>178</v>
      </c>
      <c r="B56" s="3" t="s">
        <v>179</v>
      </c>
      <c r="C56" s="17">
        <v>2</v>
      </c>
      <c r="D56" s="18"/>
      <c r="E56" s="8"/>
      <c r="F56" s="3" t="s">
        <v>37</v>
      </c>
      <c r="G56" s="36" t="s">
        <v>180</v>
      </c>
      <c r="H56" s="58"/>
    </row>
    <row r="57" spans="1:8" ht="32.85" customHeight="1">
      <c r="A57" s="3" t="s">
        <v>181</v>
      </c>
      <c r="B57" s="3" t="s">
        <v>182</v>
      </c>
      <c r="C57" s="17">
        <v>33</v>
      </c>
      <c r="D57" s="18"/>
      <c r="E57" s="8"/>
      <c r="F57" s="3" t="s">
        <v>37</v>
      </c>
      <c r="G57" s="32" t="s">
        <v>183</v>
      </c>
      <c r="H57" s="54"/>
    </row>
    <row r="58" spans="1:8" ht="32.85" customHeight="1">
      <c r="A58" s="3" t="s">
        <v>184</v>
      </c>
      <c r="B58" s="3" t="s">
        <v>185</v>
      </c>
      <c r="C58" s="17">
        <v>32</v>
      </c>
      <c r="D58" s="18"/>
      <c r="E58" s="8"/>
      <c r="F58" s="3" t="s">
        <v>37</v>
      </c>
      <c r="G58" s="32" t="s">
        <v>186</v>
      </c>
      <c r="H58" s="54"/>
    </row>
    <row r="59" spans="1:8" ht="15" customHeight="1">
      <c r="A59" s="3" t="s">
        <v>35</v>
      </c>
      <c r="B59" s="3" t="s">
        <v>187</v>
      </c>
      <c r="C59" s="17">
        <v>1</v>
      </c>
      <c r="D59" s="18"/>
      <c r="E59" s="8"/>
      <c r="F59" s="3" t="s">
        <v>37</v>
      </c>
      <c r="G59" s="32" t="s">
        <v>38</v>
      </c>
      <c r="H59" s="54"/>
    </row>
    <row r="60" spans="1:8" ht="52.7" customHeight="1">
      <c r="A60" s="3" t="s">
        <v>188</v>
      </c>
      <c r="B60" s="3" t="s">
        <v>189</v>
      </c>
      <c r="C60" s="17">
        <v>45</v>
      </c>
      <c r="D60" s="18"/>
      <c r="E60" s="8"/>
      <c r="F60" s="3" t="s">
        <v>37</v>
      </c>
      <c r="G60" s="32" t="s">
        <v>190</v>
      </c>
      <c r="H60" s="54"/>
    </row>
    <row r="61" spans="1:8" ht="15" customHeight="1">
      <c r="A61" s="3" t="s">
        <v>191</v>
      </c>
      <c r="B61" s="3" t="s">
        <v>192</v>
      </c>
      <c r="C61" s="17">
        <v>2</v>
      </c>
      <c r="D61" s="18"/>
      <c r="E61" s="8"/>
      <c r="F61" s="3" t="s">
        <v>37</v>
      </c>
      <c r="G61" s="32" t="s">
        <v>193</v>
      </c>
      <c r="H61" s="54"/>
    </row>
    <row r="62" spans="1:8" ht="15" customHeight="1">
      <c r="A62" s="3" t="s">
        <v>194</v>
      </c>
      <c r="B62" s="3" t="s">
        <v>195</v>
      </c>
      <c r="C62" s="17">
        <v>2</v>
      </c>
      <c r="D62" s="18"/>
      <c r="E62" s="8"/>
      <c r="F62" s="3" t="s">
        <v>37</v>
      </c>
      <c r="G62" s="32" t="s">
        <v>196</v>
      </c>
      <c r="H62" s="54"/>
    </row>
    <row r="63" spans="1:8" ht="15" customHeight="1">
      <c r="A63" s="3" t="s">
        <v>197</v>
      </c>
      <c r="B63" s="3" t="s">
        <v>198</v>
      </c>
      <c r="C63" s="17">
        <v>6</v>
      </c>
      <c r="D63" s="18"/>
      <c r="E63" s="8"/>
      <c r="F63" s="3" t="s">
        <v>37</v>
      </c>
      <c r="G63" s="32" t="s">
        <v>199</v>
      </c>
      <c r="H63" s="54"/>
    </row>
    <row r="64" spans="1:8" ht="22.7" customHeight="1">
      <c r="A64" s="3" t="s">
        <v>39</v>
      </c>
      <c r="B64" s="3" t="s">
        <v>200</v>
      </c>
      <c r="C64" s="17">
        <v>17</v>
      </c>
      <c r="D64" s="18"/>
      <c r="E64" s="8"/>
      <c r="F64" s="3" t="s">
        <v>37</v>
      </c>
      <c r="G64" s="32" t="s">
        <v>41</v>
      </c>
      <c r="H64" s="54"/>
    </row>
    <row r="65" spans="1:8" ht="15" customHeight="1">
      <c r="A65" s="3" t="s">
        <v>201</v>
      </c>
      <c r="B65" s="3" t="s">
        <v>202</v>
      </c>
      <c r="C65" s="17">
        <v>1</v>
      </c>
      <c r="D65" s="18"/>
      <c r="E65" s="8"/>
      <c r="F65" s="3" t="s">
        <v>37</v>
      </c>
      <c r="G65" s="32" t="s">
        <v>203</v>
      </c>
      <c r="H65" s="54"/>
    </row>
    <row r="66" spans="1:8" ht="15" customHeight="1">
      <c r="A66" s="3" t="s">
        <v>204</v>
      </c>
      <c r="B66" s="3" t="s">
        <v>205</v>
      </c>
      <c r="C66" s="17">
        <v>3</v>
      </c>
      <c r="D66" s="18"/>
      <c r="E66" s="8"/>
      <c r="F66" s="3" t="s">
        <v>37</v>
      </c>
      <c r="G66" s="32" t="s">
        <v>206</v>
      </c>
      <c r="H66" s="54"/>
    </row>
    <row r="67" spans="1:8" ht="15" customHeight="1">
      <c r="A67" s="3" t="s">
        <v>207</v>
      </c>
      <c r="B67" s="3" t="s">
        <v>208</v>
      </c>
      <c r="C67" s="17">
        <v>1</v>
      </c>
      <c r="D67" s="18"/>
      <c r="E67" s="8"/>
      <c r="F67" s="3" t="s">
        <v>37</v>
      </c>
      <c r="G67" s="32" t="s">
        <v>209</v>
      </c>
      <c r="H67" s="54"/>
    </row>
    <row r="68" spans="1:8" ht="15" customHeight="1">
      <c r="A68" s="3" t="s">
        <v>210</v>
      </c>
      <c r="B68" s="3" t="s">
        <v>211</v>
      </c>
      <c r="C68" s="17">
        <v>1</v>
      </c>
      <c r="D68" s="18"/>
      <c r="E68" s="8"/>
      <c r="F68" s="3" t="s">
        <v>37</v>
      </c>
      <c r="G68" s="32" t="s">
        <v>212</v>
      </c>
      <c r="H68" s="54"/>
    </row>
    <row r="69" spans="1:8" ht="15" customHeight="1">
      <c r="A69" s="3" t="s">
        <v>213</v>
      </c>
      <c r="B69" s="3" t="s">
        <v>214</v>
      </c>
      <c r="C69" s="17">
        <v>1</v>
      </c>
      <c r="D69" s="18"/>
      <c r="E69" s="8"/>
      <c r="F69" s="3" t="s">
        <v>37</v>
      </c>
      <c r="G69" s="32" t="s">
        <v>215</v>
      </c>
      <c r="H69" s="54"/>
    </row>
    <row r="70" spans="1:8" ht="72.75" customHeight="1">
      <c r="A70" s="3" t="s">
        <v>42</v>
      </c>
      <c r="B70" s="3" t="s">
        <v>216</v>
      </c>
      <c r="C70" s="17">
        <v>72</v>
      </c>
      <c r="D70" s="18"/>
      <c r="E70" s="8"/>
      <c r="F70" s="3" t="s">
        <v>37</v>
      </c>
      <c r="G70" s="32" t="s">
        <v>44</v>
      </c>
      <c r="H70" s="54"/>
    </row>
    <row r="71" spans="1:8" ht="22.7" customHeight="1">
      <c r="A71" s="3" t="s">
        <v>217</v>
      </c>
      <c r="B71" s="3" t="s">
        <v>218</v>
      </c>
      <c r="C71" s="17">
        <v>12</v>
      </c>
      <c r="D71" s="18"/>
      <c r="E71" s="8"/>
      <c r="F71" s="3" t="s">
        <v>37</v>
      </c>
      <c r="G71" s="32" t="s">
        <v>219</v>
      </c>
      <c r="H71" s="54"/>
    </row>
    <row r="72" spans="1:8" ht="15" customHeight="1">
      <c r="A72" s="3" t="s">
        <v>220</v>
      </c>
      <c r="B72" s="3" t="s">
        <v>221</v>
      </c>
      <c r="C72" s="17">
        <v>2</v>
      </c>
      <c r="D72" s="18"/>
      <c r="E72" s="8"/>
      <c r="F72" s="3" t="s">
        <v>37</v>
      </c>
      <c r="G72" s="32" t="s">
        <v>222</v>
      </c>
      <c r="H72" s="54"/>
    </row>
    <row r="73" spans="1:8" ht="15" customHeight="1">
      <c r="A73" s="3" t="s">
        <v>223</v>
      </c>
      <c r="B73" s="3" t="s">
        <v>224</v>
      </c>
      <c r="C73" s="17">
        <v>1</v>
      </c>
      <c r="D73" s="18"/>
      <c r="E73" s="8"/>
      <c r="F73" s="3" t="s">
        <v>37</v>
      </c>
      <c r="G73" s="32" t="s">
        <v>225</v>
      </c>
      <c r="H73" s="54"/>
    </row>
    <row r="74" spans="1:8" ht="15" customHeight="1">
      <c r="A74" s="8"/>
      <c r="B74" s="3" t="s">
        <v>226</v>
      </c>
      <c r="C74" s="17">
        <v>1</v>
      </c>
      <c r="D74" s="18"/>
      <c r="E74" s="3" t="s">
        <v>227</v>
      </c>
      <c r="F74" s="3" t="s">
        <v>228</v>
      </c>
      <c r="G74" s="30" t="s">
        <v>229</v>
      </c>
      <c r="H74" s="52"/>
    </row>
    <row r="75" spans="1:8" ht="15" customHeight="1">
      <c r="A75" s="3" t="s">
        <v>230</v>
      </c>
      <c r="B75" s="3" t="s">
        <v>231</v>
      </c>
      <c r="C75" s="17">
        <v>3</v>
      </c>
      <c r="D75" s="18"/>
      <c r="E75" s="3" t="s">
        <v>114</v>
      </c>
      <c r="F75" s="3" t="s">
        <v>232</v>
      </c>
      <c r="G75" s="30" t="s">
        <v>233</v>
      </c>
      <c r="H75" s="52"/>
    </row>
    <row r="76" spans="1:8" ht="15" customHeight="1">
      <c r="A76" s="3" t="s">
        <v>234</v>
      </c>
      <c r="B76" s="3" t="s">
        <v>235</v>
      </c>
      <c r="C76" s="17">
        <v>1</v>
      </c>
      <c r="D76" s="18"/>
      <c r="E76" s="5" t="s">
        <v>236</v>
      </c>
      <c r="F76" s="3" t="s">
        <v>237</v>
      </c>
      <c r="G76" s="30" t="s">
        <v>238</v>
      </c>
      <c r="H76" s="52"/>
    </row>
    <row r="77" spans="1:8" ht="15" customHeight="1">
      <c r="A77" s="8"/>
      <c r="B77" s="3" t="s">
        <v>239</v>
      </c>
      <c r="C77" s="17">
        <v>1</v>
      </c>
      <c r="D77" s="18"/>
      <c r="E77" s="9"/>
      <c r="F77" s="3" t="s">
        <v>240</v>
      </c>
      <c r="G77" s="30" t="s">
        <v>241</v>
      </c>
      <c r="H77" s="52"/>
    </row>
    <row r="78" spans="1:8" ht="22.7" customHeight="1">
      <c r="A78" s="8"/>
      <c r="B78" s="3" t="s">
        <v>242</v>
      </c>
      <c r="C78" s="17">
        <v>9</v>
      </c>
      <c r="D78" s="18"/>
      <c r="E78" s="3" t="s">
        <v>243</v>
      </c>
      <c r="F78" s="3" t="s">
        <v>244</v>
      </c>
      <c r="G78" s="34" t="s">
        <v>245</v>
      </c>
      <c r="H78" s="56"/>
    </row>
    <row r="79" spans="1:8" ht="15" customHeight="1">
      <c r="A79" s="19"/>
      <c r="B79" s="18"/>
      <c r="C79" s="18"/>
      <c r="D79" s="18"/>
      <c r="E79" s="18"/>
      <c r="F79" s="18"/>
      <c r="G79" s="18"/>
      <c r="H79" s="51"/>
    </row>
    <row r="80" spans="1:8" ht="15" customHeight="1">
      <c r="A80" s="21" t="s">
        <v>246</v>
      </c>
      <c r="B80" s="18"/>
      <c r="C80" s="18"/>
      <c r="D80" s="18"/>
      <c r="E80" s="18"/>
      <c r="F80" s="18"/>
      <c r="G80" s="18"/>
      <c r="H80" s="51"/>
    </row>
    <row r="81" spans="1:10" ht="14.65" customHeight="1">
      <c r="A81" s="2" t="s">
        <v>2</v>
      </c>
      <c r="B81" s="2" t="s">
        <v>3</v>
      </c>
      <c r="C81" s="2" t="s">
        <v>247</v>
      </c>
      <c r="D81" s="2" t="s">
        <v>248</v>
      </c>
      <c r="E81" s="2" t="s">
        <v>5</v>
      </c>
      <c r="F81" s="2" t="s">
        <v>6</v>
      </c>
      <c r="G81" s="29" t="s">
        <v>7</v>
      </c>
      <c r="H81" s="47"/>
    </row>
    <row r="82" spans="1:10" ht="12.75" customHeight="1">
      <c r="A82" s="3" t="s">
        <v>249</v>
      </c>
      <c r="B82" s="3" t="s">
        <v>250</v>
      </c>
      <c r="C82" s="4">
        <v>4</v>
      </c>
      <c r="D82" s="4">
        <f t="shared" ref="D82:D92" si="0">C82*8</f>
        <v>32</v>
      </c>
      <c r="E82" s="3" t="s">
        <v>251</v>
      </c>
      <c r="F82" s="3" t="s">
        <v>11</v>
      </c>
      <c r="G82" s="30" t="s">
        <v>252</v>
      </c>
      <c r="H82" s="52"/>
    </row>
    <row r="83" spans="1:10" ht="12.75" customHeight="1">
      <c r="A83" s="3" t="s">
        <v>253</v>
      </c>
      <c r="B83" s="3" t="s">
        <v>254</v>
      </c>
      <c r="C83" s="4">
        <v>2</v>
      </c>
      <c r="D83" s="4">
        <f t="shared" si="0"/>
        <v>16</v>
      </c>
      <c r="E83" s="3" t="s">
        <v>10</v>
      </c>
      <c r="F83" s="3" t="s">
        <v>11</v>
      </c>
      <c r="G83" s="30" t="s">
        <v>255</v>
      </c>
      <c r="H83" s="52"/>
    </row>
    <row r="84" spans="1:10" ht="12.75" customHeight="1">
      <c r="A84" s="3" t="s">
        <v>85</v>
      </c>
      <c r="B84" s="3" t="s">
        <v>256</v>
      </c>
      <c r="C84" s="4">
        <v>8</v>
      </c>
      <c r="D84" s="4">
        <f t="shared" si="0"/>
        <v>64</v>
      </c>
      <c r="E84" s="3" t="s">
        <v>10</v>
      </c>
      <c r="F84" s="3" t="s">
        <v>257</v>
      </c>
      <c r="G84" s="30" t="s">
        <v>258</v>
      </c>
      <c r="H84" s="52"/>
    </row>
    <row r="85" spans="1:10" ht="52.7" customHeight="1">
      <c r="A85" s="3" t="s">
        <v>13</v>
      </c>
      <c r="B85" s="3" t="s">
        <v>259</v>
      </c>
      <c r="C85" s="4">
        <v>58</v>
      </c>
      <c r="D85" s="4">
        <f t="shared" si="0"/>
        <v>464</v>
      </c>
      <c r="E85" s="3" t="s">
        <v>15</v>
      </c>
      <c r="F85" s="3" t="s">
        <v>16</v>
      </c>
      <c r="G85" s="31" t="s">
        <v>17</v>
      </c>
      <c r="H85" s="53"/>
      <c r="I85" s="48" t="s">
        <v>569</v>
      </c>
      <c r="J85" s="46" t="s">
        <v>573</v>
      </c>
    </row>
    <row r="86" spans="1:10" ht="12.75" customHeight="1">
      <c r="A86" s="3" t="s">
        <v>91</v>
      </c>
      <c r="B86" s="3" t="s">
        <v>260</v>
      </c>
      <c r="C86" s="4">
        <v>6</v>
      </c>
      <c r="D86" s="4">
        <f t="shared" si="0"/>
        <v>48</v>
      </c>
      <c r="E86" s="3" t="s">
        <v>80</v>
      </c>
      <c r="F86" s="3" t="s">
        <v>16</v>
      </c>
      <c r="G86" s="30" t="s">
        <v>93</v>
      </c>
      <c r="H86" s="52" t="s">
        <v>575</v>
      </c>
    </row>
    <row r="87" spans="1:10" ht="12.75" customHeight="1">
      <c r="A87" s="3" t="s">
        <v>261</v>
      </c>
      <c r="B87" s="3" t="s">
        <v>262</v>
      </c>
      <c r="C87" s="4">
        <v>6</v>
      </c>
      <c r="D87" s="4">
        <f t="shared" si="0"/>
        <v>48</v>
      </c>
      <c r="E87" s="3" t="s">
        <v>80</v>
      </c>
      <c r="F87" s="3" t="s">
        <v>16</v>
      </c>
      <c r="G87" s="30" t="s">
        <v>263</v>
      </c>
      <c r="H87" s="52" t="s">
        <v>575</v>
      </c>
    </row>
    <row r="88" spans="1:10" ht="32.85" customHeight="1">
      <c r="A88" s="3" t="s">
        <v>94</v>
      </c>
      <c r="B88" s="3" t="s">
        <v>264</v>
      </c>
      <c r="C88" s="4">
        <v>28</v>
      </c>
      <c r="D88" s="4">
        <f t="shared" si="0"/>
        <v>224</v>
      </c>
      <c r="E88" s="3" t="s">
        <v>80</v>
      </c>
      <c r="F88" s="3" t="s">
        <v>16</v>
      </c>
      <c r="G88" s="30" t="s">
        <v>96</v>
      </c>
      <c r="H88" s="52" t="s">
        <v>575</v>
      </c>
      <c r="I88" s="49" t="s">
        <v>576</v>
      </c>
    </row>
    <row r="89" spans="1:10" ht="12.75" customHeight="1">
      <c r="A89" s="3" t="s">
        <v>265</v>
      </c>
      <c r="B89" s="3" t="s">
        <v>266</v>
      </c>
      <c r="C89" s="4">
        <v>4</v>
      </c>
      <c r="D89" s="4">
        <f t="shared" si="0"/>
        <v>32</v>
      </c>
      <c r="E89" s="3" t="s">
        <v>80</v>
      </c>
      <c r="F89" s="3" t="s">
        <v>16</v>
      </c>
      <c r="G89" s="30" t="s">
        <v>267</v>
      </c>
      <c r="H89" s="52" t="s">
        <v>575</v>
      </c>
    </row>
    <row r="90" spans="1:10" ht="22.7" customHeight="1">
      <c r="A90" s="3" t="s">
        <v>97</v>
      </c>
      <c r="B90" s="3" t="s">
        <v>268</v>
      </c>
      <c r="C90" s="4">
        <v>20</v>
      </c>
      <c r="D90" s="4">
        <f t="shared" si="0"/>
        <v>160</v>
      </c>
      <c r="E90" s="3" t="s">
        <v>80</v>
      </c>
      <c r="F90" s="3" t="s">
        <v>16</v>
      </c>
      <c r="G90" s="30" t="s">
        <v>99</v>
      </c>
      <c r="H90" s="52" t="s">
        <v>575</v>
      </c>
      <c r="I90" s="48" t="s">
        <v>585</v>
      </c>
    </row>
    <row r="91" spans="1:10" ht="12.75" customHeight="1">
      <c r="A91" s="3" t="s">
        <v>269</v>
      </c>
      <c r="B91" s="3" t="s">
        <v>270</v>
      </c>
      <c r="C91" s="4">
        <v>8</v>
      </c>
      <c r="D91" s="4">
        <f t="shared" si="0"/>
        <v>64</v>
      </c>
      <c r="E91" s="3" t="s">
        <v>80</v>
      </c>
      <c r="F91" s="3" t="s">
        <v>104</v>
      </c>
      <c r="G91" s="30" t="s">
        <v>271</v>
      </c>
      <c r="H91" s="52"/>
      <c r="I91" s="48" t="s">
        <v>577</v>
      </c>
    </row>
    <row r="92" spans="1:10" ht="12.75" customHeight="1">
      <c r="A92" s="3" t="s">
        <v>272</v>
      </c>
      <c r="B92" s="3" t="s">
        <v>273</v>
      </c>
      <c r="C92" s="4">
        <v>2</v>
      </c>
      <c r="D92" s="4">
        <f t="shared" si="0"/>
        <v>16</v>
      </c>
      <c r="E92" s="3" t="s">
        <v>20</v>
      </c>
      <c r="F92" s="3" t="s">
        <v>274</v>
      </c>
      <c r="G92" s="34" t="s">
        <v>275</v>
      </c>
      <c r="H92" s="56"/>
    </row>
    <row r="93" spans="1:10" ht="15" customHeight="1">
      <c r="A93" s="19"/>
      <c r="B93" s="18"/>
      <c r="C93" s="18"/>
      <c r="D93" s="18"/>
      <c r="E93" s="18"/>
      <c r="F93" s="18"/>
      <c r="G93" s="34" t="s">
        <v>276</v>
      </c>
      <c r="H93" s="56"/>
    </row>
    <row r="94" spans="1:10" ht="12.75" customHeight="1">
      <c r="A94" s="3" t="s">
        <v>152</v>
      </c>
      <c r="B94" s="3" t="s">
        <v>277</v>
      </c>
      <c r="C94" s="4">
        <v>10</v>
      </c>
      <c r="D94" s="4">
        <f t="shared" ref="D94:D99" si="1">C94*8</f>
        <v>80</v>
      </c>
      <c r="E94" s="3" t="s">
        <v>154</v>
      </c>
      <c r="F94" s="3" t="s">
        <v>155</v>
      </c>
      <c r="G94" s="30" t="s">
        <v>156</v>
      </c>
      <c r="H94" s="52"/>
    </row>
    <row r="95" spans="1:10" ht="12.75" customHeight="1">
      <c r="A95" s="3" t="s">
        <v>278</v>
      </c>
      <c r="B95" s="3" t="s">
        <v>279</v>
      </c>
      <c r="C95" s="4">
        <v>1</v>
      </c>
      <c r="D95" s="4">
        <f t="shared" si="1"/>
        <v>8</v>
      </c>
      <c r="E95" s="3" t="s">
        <v>154</v>
      </c>
      <c r="F95" s="3" t="s">
        <v>280</v>
      </c>
      <c r="G95" s="30" t="s">
        <v>281</v>
      </c>
      <c r="H95" s="52"/>
    </row>
    <row r="96" spans="1:10" ht="12.75" customHeight="1">
      <c r="A96" s="3" t="s">
        <v>282</v>
      </c>
      <c r="B96" s="3" t="s">
        <v>283</v>
      </c>
      <c r="C96" s="4">
        <v>1</v>
      </c>
      <c r="D96" s="4">
        <f t="shared" si="1"/>
        <v>8</v>
      </c>
      <c r="E96" s="3" t="s">
        <v>20</v>
      </c>
      <c r="F96" s="3" t="s">
        <v>284</v>
      </c>
      <c r="G96" s="30" t="s">
        <v>285</v>
      </c>
      <c r="H96" s="52"/>
      <c r="I96" s="48" t="s">
        <v>578</v>
      </c>
    </row>
    <row r="97" spans="1:9" ht="12.75" customHeight="1">
      <c r="A97" s="3" t="s">
        <v>286</v>
      </c>
      <c r="B97" s="3" t="s">
        <v>287</v>
      </c>
      <c r="C97" s="4">
        <v>1</v>
      </c>
      <c r="D97" s="4">
        <f t="shared" si="1"/>
        <v>8</v>
      </c>
      <c r="E97" s="3" t="s">
        <v>20</v>
      </c>
      <c r="F97" s="3" t="s">
        <v>288</v>
      </c>
      <c r="G97" s="30" t="s">
        <v>289</v>
      </c>
      <c r="H97" s="52"/>
      <c r="I97" s="49" t="s">
        <v>576</v>
      </c>
    </row>
    <row r="98" spans="1:9" ht="12.75" customHeight="1">
      <c r="A98" s="3" t="s">
        <v>138</v>
      </c>
      <c r="B98" s="3" t="s">
        <v>290</v>
      </c>
      <c r="C98" s="4">
        <v>4</v>
      </c>
      <c r="D98" s="4">
        <f t="shared" si="1"/>
        <v>32</v>
      </c>
      <c r="E98" s="3" t="s">
        <v>140</v>
      </c>
      <c r="F98" s="3" t="s">
        <v>141</v>
      </c>
      <c r="G98" s="30" t="s">
        <v>142</v>
      </c>
      <c r="H98" s="52"/>
    </row>
    <row r="99" spans="1:9" ht="12.75" customHeight="1">
      <c r="A99" s="3" t="s">
        <v>157</v>
      </c>
      <c r="B99" s="3" t="s">
        <v>291</v>
      </c>
      <c r="C99" s="4">
        <v>7</v>
      </c>
      <c r="D99" s="4">
        <f t="shared" si="1"/>
        <v>56</v>
      </c>
      <c r="E99" s="3" t="s">
        <v>20</v>
      </c>
      <c r="F99" s="3" t="s">
        <v>159</v>
      </c>
      <c r="G99" s="34" t="s">
        <v>160</v>
      </c>
      <c r="H99" s="56"/>
    </row>
    <row r="100" spans="1:9" ht="15" customHeight="1">
      <c r="A100" s="19"/>
      <c r="B100" s="18"/>
      <c r="C100" s="18"/>
      <c r="D100" s="18"/>
      <c r="E100" s="18"/>
      <c r="F100" s="18"/>
      <c r="G100" s="34" t="s">
        <v>161</v>
      </c>
      <c r="H100" s="56"/>
    </row>
    <row r="101" spans="1:9" ht="12.75" customHeight="1">
      <c r="A101" s="3" t="s">
        <v>292</v>
      </c>
      <c r="B101" s="3" t="s">
        <v>293</v>
      </c>
      <c r="C101" s="4">
        <v>4</v>
      </c>
      <c r="D101" s="4">
        <f t="shared" ref="D101:D135" si="2">C101*8</f>
        <v>32</v>
      </c>
      <c r="E101" s="3" t="s">
        <v>149</v>
      </c>
      <c r="F101" s="3" t="s">
        <v>294</v>
      </c>
      <c r="G101" s="30" t="s">
        <v>295</v>
      </c>
      <c r="H101" s="52"/>
    </row>
    <row r="102" spans="1:9" ht="12.75" customHeight="1">
      <c r="A102" s="3" t="s">
        <v>296</v>
      </c>
      <c r="B102" s="3" t="s">
        <v>297</v>
      </c>
      <c r="C102" s="4">
        <v>8</v>
      </c>
      <c r="D102" s="4">
        <f t="shared" si="2"/>
        <v>64</v>
      </c>
      <c r="E102" s="8"/>
      <c r="F102" s="3" t="s">
        <v>37</v>
      </c>
      <c r="G102" s="30" t="s">
        <v>298</v>
      </c>
      <c r="H102" s="52"/>
    </row>
    <row r="103" spans="1:9" ht="12.75" customHeight="1">
      <c r="A103" s="3" t="s">
        <v>299</v>
      </c>
      <c r="B103" s="3" t="s">
        <v>300</v>
      </c>
      <c r="C103" s="4">
        <v>2</v>
      </c>
      <c r="D103" s="4">
        <f t="shared" si="2"/>
        <v>16</v>
      </c>
      <c r="E103" s="8"/>
      <c r="F103" s="3" t="s">
        <v>37</v>
      </c>
      <c r="G103" s="32" t="s">
        <v>301</v>
      </c>
      <c r="H103" s="54"/>
    </row>
    <row r="104" spans="1:9" ht="12.75" customHeight="1">
      <c r="A104" s="3" t="s">
        <v>302</v>
      </c>
      <c r="B104" s="3" t="s">
        <v>303</v>
      </c>
      <c r="C104" s="4">
        <v>4</v>
      </c>
      <c r="D104" s="4">
        <f t="shared" si="2"/>
        <v>32</v>
      </c>
      <c r="E104" s="8"/>
      <c r="F104" s="3" t="s">
        <v>37</v>
      </c>
      <c r="G104" s="30" t="s">
        <v>304</v>
      </c>
      <c r="H104" s="52"/>
    </row>
    <row r="105" spans="1:9" ht="12.75" customHeight="1">
      <c r="A105" s="3" t="s">
        <v>305</v>
      </c>
      <c r="B105" s="3" t="s">
        <v>306</v>
      </c>
      <c r="C105" s="4">
        <v>2</v>
      </c>
      <c r="D105" s="4">
        <f t="shared" si="2"/>
        <v>16</v>
      </c>
      <c r="E105" s="8"/>
      <c r="F105" s="3" t="s">
        <v>37</v>
      </c>
      <c r="G105" s="32" t="s">
        <v>307</v>
      </c>
      <c r="H105" s="54"/>
    </row>
    <row r="106" spans="1:9" ht="12.75" customHeight="1">
      <c r="A106" s="3" t="s">
        <v>308</v>
      </c>
      <c r="B106" s="3" t="s">
        <v>309</v>
      </c>
      <c r="C106" s="4">
        <v>2</v>
      </c>
      <c r="D106" s="4">
        <f t="shared" si="2"/>
        <v>16</v>
      </c>
      <c r="E106" s="8"/>
      <c r="F106" s="3" t="s">
        <v>37</v>
      </c>
      <c r="G106" s="32" t="s">
        <v>310</v>
      </c>
      <c r="H106" s="54"/>
    </row>
    <row r="107" spans="1:9" ht="12.75" customHeight="1">
      <c r="A107" s="3" t="s">
        <v>311</v>
      </c>
      <c r="B107" s="3" t="s">
        <v>312</v>
      </c>
      <c r="C107" s="4">
        <v>8</v>
      </c>
      <c r="D107" s="4">
        <f t="shared" si="2"/>
        <v>64</v>
      </c>
      <c r="E107" s="8"/>
      <c r="F107" s="3" t="s">
        <v>37</v>
      </c>
      <c r="G107" s="32" t="s">
        <v>313</v>
      </c>
      <c r="H107" s="54"/>
    </row>
    <row r="108" spans="1:9" ht="12.75" customHeight="1">
      <c r="A108" s="3" t="s">
        <v>178</v>
      </c>
      <c r="B108" s="3" t="s">
        <v>314</v>
      </c>
      <c r="C108" s="4">
        <v>2</v>
      </c>
      <c r="D108" s="4">
        <f t="shared" si="2"/>
        <v>16</v>
      </c>
      <c r="E108" s="8"/>
      <c r="F108" s="3" t="s">
        <v>37</v>
      </c>
      <c r="G108" s="32" t="s">
        <v>180</v>
      </c>
      <c r="H108" s="54"/>
    </row>
    <row r="109" spans="1:9" ht="12.75" customHeight="1">
      <c r="A109" s="3" t="s">
        <v>315</v>
      </c>
      <c r="B109" s="3" t="s">
        <v>316</v>
      </c>
      <c r="C109" s="4">
        <v>2</v>
      </c>
      <c r="D109" s="4">
        <f t="shared" si="2"/>
        <v>16</v>
      </c>
      <c r="E109" s="8"/>
      <c r="F109" s="3" t="s">
        <v>37</v>
      </c>
      <c r="G109" s="32" t="s">
        <v>317</v>
      </c>
      <c r="H109" s="54"/>
    </row>
    <row r="110" spans="1:9" ht="22.7" customHeight="1">
      <c r="A110" s="3" t="s">
        <v>181</v>
      </c>
      <c r="B110" s="3" t="s">
        <v>318</v>
      </c>
      <c r="C110" s="4">
        <v>16</v>
      </c>
      <c r="D110" s="4">
        <f t="shared" si="2"/>
        <v>128</v>
      </c>
      <c r="E110" s="8"/>
      <c r="F110" s="3" t="s">
        <v>37</v>
      </c>
      <c r="G110" s="32" t="s">
        <v>183</v>
      </c>
      <c r="H110" s="54"/>
      <c r="I110" s="48" t="s">
        <v>581</v>
      </c>
    </row>
    <row r="111" spans="1:9" ht="12.75" customHeight="1">
      <c r="A111" s="3" t="s">
        <v>319</v>
      </c>
      <c r="B111" s="3" t="s">
        <v>320</v>
      </c>
      <c r="C111" s="4">
        <v>2</v>
      </c>
      <c r="D111" s="4">
        <f t="shared" si="2"/>
        <v>16</v>
      </c>
      <c r="E111" s="8"/>
      <c r="F111" s="3" t="s">
        <v>37</v>
      </c>
      <c r="G111" s="32" t="s">
        <v>321</v>
      </c>
      <c r="H111" s="54"/>
    </row>
    <row r="112" spans="1:9" ht="12.75" customHeight="1">
      <c r="A112" s="3" t="s">
        <v>35</v>
      </c>
      <c r="B112" s="3" t="s">
        <v>322</v>
      </c>
      <c r="C112" s="4">
        <v>4</v>
      </c>
      <c r="D112" s="4">
        <f t="shared" si="2"/>
        <v>32</v>
      </c>
      <c r="E112" s="8"/>
      <c r="F112" s="3" t="s">
        <v>37</v>
      </c>
      <c r="G112" s="32" t="s">
        <v>38</v>
      </c>
      <c r="H112" s="54"/>
    </row>
    <row r="113" spans="1:9" ht="22.7" customHeight="1">
      <c r="A113" s="3" t="s">
        <v>323</v>
      </c>
      <c r="B113" s="3" t="s">
        <v>324</v>
      </c>
      <c r="C113" s="4">
        <v>24</v>
      </c>
      <c r="D113" s="4">
        <f t="shared" si="2"/>
        <v>192</v>
      </c>
      <c r="E113" s="8"/>
      <c r="F113" s="3" t="s">
        <v>37</v>
      </c>
      <c r="G113" s="32" t="s">
        <v>325</v>
      </c>
      <c r="H113" s="54"/>
      <c r="I113" s="49" t="s">
        <v>579</v>
      </c>
    </row>
    <row r="114" spans="1:9" ht="12.75" customHeight="1">
      <c r="A114" s="3" t="s">
        <v>326</v>
      </c>
      <c r="B114" s="3" t="s">
        <v>327</v>
      </c>
      <c r="C114" s="4">
        <v>2</v>
      </c>
      <c r="D114" s="4">
        <f t="shared" si="2"/>
        <v>16</v>
      </c>
      <c r="E114" s="8"/>
      <c r="F114" s="3" t="s">
        <v>37</v>
      </c>
      <c r="G114" s="30" t="s">
        <v>328</v>
      </c>
      <c r="H114" s="52"/>
    </row>
    <row r="115" spans="1:9" ht="42.75" customHeight="1">
      <c r="A115" s="3" t="s">
        <v>188</v>
      </c>
      <c r="B115" s="3" t="s">
        <v>329</v>
      </c>
      <c r="C115" s="4">
        <v>38</v>
      </c>
      <c r="D115" s="4">
        <f t="shared" si="2"/>
        <v>304</v>
      </c>
      <c r="E115" s="8"/>
      <c r="F115" s="3" t="s">
        <v>37</v>
      </c>
      <c r="G115" s="32" t="s">
        <v>190</v>
      </c>
      <c r="H115" s="54"/>
      <c r="I115" s="48" t="s">
        <v>580</v>
      </c>
    </row>
    <row r="116" spans="1:9" ht="12.75" customHeight="1">
      <c r="A116" s="3" t="s">
        <v>330</v>
      </c>
      <c r="B116" s="3" t="s">
        <v>331</v>
      </c>
      <c r="C116" s="4">
        <v>2</v>
      </c>
      <c r="D116" s="4">
        <f t="shared" si="2"/>
        <v>16</v>
      </c>
      <c r="E116" s="8"/>
      <c r="F116" s="3" t="s">
        <v>37</v>
      </c>
      <c r="G116" s="32" t="s">
        <v>332</v>
      </c>
      <c r="H116" s="54"/>
    </row>
    <row r="117" spans="1:9" ht="12.75" customHeight="1">
      <c r="A117" s="3" t="s">
        <v>333</v>
      </c>
      <c r="B117" s="3" t="s">
        <v>334</v>
      </c>
      <c r="C117" s="4">
        <v>4</v>
      </c>
      <c r="D117" s="4">
        <f t="shared" si="2"/>
        <v>32</v>
      </c>
      <c r="E117" s="8"/>
      <c r="F117" s="3" t="s">
        <v>37</v>
      </c>
      <c r="G117" s="32" t="s">
        <v>335</v>
      </c>
      <c r="H117" s="54"/>
    </row>
    <row r="118" spans="1:9" ht="12.75" customHeight="1">
      <c r="A118" s="3" t="s">
        <v>336</v>
      </c>
      <c r="B118" s="3" t="s">
        <v>337</v>
      </c>
      <c r="C118" s="4">
        <v>2</v>
      </c>
      <c r="D118" s="4">
        <f t="shared" si="2"/>
        <v>16</v>
      </c>
      <c r="E118" s="8"/>
      <c r="F118" s="3" t="s">
        <v>37</v>
      </c>
      <c r="G118" s="32" t="s">
        <v>338</v>
      </c>
      <c r="H118" s="54"/>
    </row>
    <row r="119" spans="1:9" ht="12.75" customHeight="1">
      <c r="A119" s="3" t="s">
        <v>339</v>
      </c>
      <c r="B119" s="3" t="s">
        <v>340</v>
      </c>
      <c r="C119" s="4">
        <v>4</v>
      </c>
      <c r="D119" s="4">
        <f t="shared" si="2"/>
        <v>32</v>
      </c>
      <c r="E119" s="8"/>
      <c r="F119" s="3" t="s">
        <v>37</v>
      </c>
      <c r="G119" s="32" t="s">
        <v>341</v>
      </c>
      <c r="H119" s="54"/>
    </row>
    <row r="120" spans="1:9" ht="22.7" customHeight="1">
      <c r="A120" s="3" t="s">
        <v>39</v>
      </c>
      <c r="B120" s="3" t="s">
        <v>342</v>
      </c>
      <c r="C120" s="4">
        <v>22</v>
      </c>
      <c r="D120" s="4">
        <f t="shared" si="2"/>
        <v>176</v>
      </c>
      <c r="E120" s="8"/>
      <c r="F120" s="3" t="s">
        <v>37</v>
      </c>
      <c r="G120" s="32" t="s">
        <v>41</v>
      </c>
      <c r="H120" s="54"/>
      <c r="I120" s="48" t="s">
        <v>582</v>
      </c>
    </row>
    <row r="121" spans="1:9" ht="12.75" customHeight="1">
      <c r="A121" s="3" t="s">
        <v>343</v>
      </c>
      <c r="B121" s="3" t="s">
        <v>344</v>
      </c>
      <c r="C121" s="4">
        <v>2</v>
      </c>
      <c r="D121" s="4">
        <f t="shared" si="2"/>
        <v>16</v>
      </c>
      <c r="E121" s="8"/>
      <c r="F121" s="3" t="s">
        <v>37</v>
      </c>
      <c r="G121" s="32" t="s">
        <v>345</v>
      </c>
      <c r="H121" s="54"/>
    </row>
    <row r="122" spans="1:9" ht="12.75" customHeight="1">
      <c r="A122" s="3" t="s">
        <v>201</v>
      </c>
      <c r="B122" s="3" t="s">
        <v>346</v>
      </c>
      <c r="C122" s="4">
        <v>2</v>
      </c>
      <c r="D122" s="4">
        <f t="shared" si="2"/>
        <v>16</v>
      </c>
      <c r="E122" s="8"/>
      <c r="F122" s="3" t="s">
        <v>37</v>
      </c>
      <c r="G122" s="32" t="s">
        <v>203</v>
      </c>
      <c r="H122" s="54"/>
    </row>
    <row r="123" spans="1:9" ht="12.75" customHeight="1">
      <c r="A123" s="3" t="s">
        <v>347</v>
      </c>
      <c r="B123" s="3" t="s">
        <v>348</v>
      </c>
      <c r="C123" s="4">
        <v>2</v>
      </c>
      <c r="D123" s="4">
        <f t="shared" si="2"/>
        <v>16</v>
      </c>
      <c r="E123" s="8"/>
      <c r="F123" s="3" t="s">
        <v>37</v>
      </c>
      <c r="G123" s="32" t="s">
        <v>349</v>
      </c>
      <c r="H123" s="54"/>
    </row>
    <row r="124" spans="1:9" ht="12.75" customHeight="1">
      <c r="A124" s="3" t="s">
        <v>350</v>
      </c>
      <c r="B124" s="3" t="s">
        <v>351</v>
      </c>
      <c r="C124" s="4">
        <v>2</v>
      </c>
      <c r="D124" s="4">
        <f t="shared" si="2"/>
        <v>16</v>
      </c>
      <c r="E124" s="8"/>
      <c r="F124" s="3" t="s">
        <v>37</v>
      </c>
      <c r="G124" s="32" t="s">
        <v>352</v>
      </c>
      <c r="H124" s="54"/>
    </row>
    <row r="125" spans="1:9" ht="12.75" customHeight="1">
      <c r="A125" s="3" t="s">
        <v>353</v>
      </c>
      <c r="B125" s="3" t="s">
        <v>354</v>
      </c>
      <c r="C125" s="4">
        <v>2</v>
      </c>
      <c r="D125" s="4">
        <f t="shared" si="2"/>
        <v>16</v>
      </c>
      <c r="E125" s="8"/>
      <c r="F125" s="3" t="s">
        <v>37</v>
      </c>
      <c r="G125" s="32" t="s">
        <v>355</v>
      </c>
      <c r="H125" s="54"/>
    </row>
    <row r="126" spans="1:9" ht="12.75" customHeight="1">
      <c r="A126" s="3" t="s">
        <v>210</v>
      </c>
      <c r="B126" s="3" t="s">
        <v>356</v>
      </c>
      <c r="C126" s="4">
        <v>4</v>
      </c>
      <c r="D126" s="4">
        <f t="shared" si="2"/>
        <v>32</v>
      </c>
      <c r="E126" s="8"/>
      <c r="F126" s="3" t="s">
        <v>37</v>
      </c>
      <c r="G126" s="32" t="s">
        <v>212</v>
      </c>
      <c r="H126" s="54"/>
    </row>
    <row r="127" spans="1:9" ht="12.75" customHeight="1">
      <c r="A127" s="3" t="s">
        <v>207</v>
      </c>
      <c r="B127" s="3" t="s">
        <v>357</v>
      </c>
      <c r="C127" s="4">
        <v>2</v>
      </c>
      <c r="D127" s="4">
        <f t="shared" si="2"/>
        <v>16</v>
      </c>
      <c r="E127" s="8"/>
      <c r="F127" s="3" t="s">
        <v>37</v>
      </c>
      <c r="G127" s="32" t="s">
        <v>209</v>
      </c>
      <c r="H127" s="54"/>
    </row>
    <row r="128" spans="1:9" ht="12.75" customHeight="1">
      <c r="A128" s="3" t="s">
        <v>358</v>
      </c>
      <c r="B128" s="3" t="s">
        <v>359</v>
      </c>
      <c r="C128" s="4">
        <v>2</v>
      </c>
      <c r="D128" s="4">
        <f t="shared" si="2"/>
        <v>16</v>
      </c>
      <c r="E128" s="8"/>
      <c r="F128" s="3" t="s">
        <v>37</v>
      </c>
      <c r="G128" s="32" t="s">
        <v>360</v>
      </c>
      <c r="H128" s="54"/>
    </row>
    <row r="129" spans="1:9" ht="12.75" customHeight="1">
      <c r="A129" s="3" t="s">
        <v>42</v>
      </c>
      <c r="B129" s="3" t="s">
        <v>361</v>
      </c>
      <c r="C129" s="4">
        <v>4</v>
      </c>
      <c r="D129" s="4">
        <f t="shared" si="2"/>
        <v>32</v>
      </c>
      <c r="E129" s="8"/>
      <c r="F129" s="3" t="s">
        <v>37</v>
      </c>
      <c r="G129" s="32" t="s">
        <v>44</v>
      </c>
      <c r="H129" s="54"/>
      <c r="I129" s="48" t="s">
        <v>583</v>
      </c>
    </row>
    <row r="130" spans="1:9" ht="12.75" customHeight="1">
      <c r="A130" s="3" t="s">
        <v>362</v>
      </c>
      <c r="B130" s="3" t="s">
        <v>363</v>
      </c>
      <c r="C130" s="4">
        <v>2</v>
      </c>
      <c r="D130" s="4">
        <f t="shared" si="2"/>
        <v>16</v>
      </c>
      <c r="E130" s="8"/>
      <c r="F130" s="3" t="s">
        <v>37</v>
      </c>
      <c r="G130" s="32" t="s">
        <v>364</v>
      </c>
      <c r="H130" s="54"/>
    </row>
    <row r="131" spans="1:9" ht="32.85" customHeight="1">
      <c r="A131" s="3" t="s">
        <v>217</v>
      </c>
      <c r="B131" s="3" t="s">
        <v>365</v>
      </c>
      <c r="C131" s="4">
        <v>28</v>
      </c>
      <c r="D131" s="4">
        <f t="shared" si="2"/>
        <v>224</v>
      </c>
      <c r="E131" s="8"/>
      <c r="F131" s="3" t="s">
        <v>37</v>
      </c>
      <c r="G131" s="32" t="s">
        <v>219</v>
      </c>
      <c r="H131" s="54"/>
      <c r="I131" s="48" t="s">
        <v>584</v>
      </c>
    </row>
    <row r="132" spans="1:9" ht="12.75" customHeight="1">
      <c r="A132" s="3" t="s">
        <v>366</v>
      </c>
      <c r="B132" s="3" t="s">
        <v>367</v>
      </c>
      <c r="C132" s="4">
        <v>4</v>
      </c>
      <c r="D132" s="4">
        <f t="shared" si="2"/>
        <v>32</v>
      </c>
      <c r="E132" s="8"/>
      <c r="F132" s="3" t="s">
        <v>37</v>
      </c>
      <c r="G132" s="32" t="s">
        <v>368</v>
      </c>
      <c r="H132" s="54"/>
    </row>
    <row r="133" spans="1:9" ht="12.75" customHeight="1">
      <c r="A133" s="3" t="s">
        <v>369</v>
      </c>
      <c r="B133" s="3" t="s">
        <v>370</v>
      </c>
      <c r="C133" s="4">
        <v>2</v>
      </c>
      <c r="D133" s="4">
        <f t="shared" si="2"/>
        <v>16</v>
      </c>
      <c r="E133" s="8"/>
      <c r="F133" s="3" t="s">
        <v>37</v>
      </c>
      <c r="G133" s="32" t="s">
        <v>371</v>
      </c>
      <c r="H133" s="54"/>
    </row>
    <row r="134" spans="1:9" ht="12.75" customHeight="1">
      <c r="A134" s="3" t="s">
        <v>372</v>
      </c>
      <c r="B134" s="3" t="s">
        <v>373</v>
      </c>
      <c r="C134" s="4">
        <v>8</v>
      </c>
      <c r="D134" s="4">
        <f t="shared" si="2"/>
        <v>64</v>
      </c>
      <c r="E134" s="3" t="s">
        <v>114</v>
      </c>
      <c r="F134" s="5" t="s">
        <v>374</v>
      </c>
      <c r="G134" s="30" t="s">
        <v>375</v>
      </c>
      <c r="H134" s="52"/>
    </row>
    <row r="135" spans="1:9" ht="12.75" customHeight="1">
      <c r="A135" s="3" t="s">
        <v>230</v>
      </c>
      <c r="B135" s="3" t="s">
        <v>376</v>
      </c>
      <c r="C135" s="4">
        <v>7</v>
      </c>
      <c r="D135" s="4">
        <f t="shared" si="2"/>
        <v>56</v>
      </c>
      <c r="E135" s="3" t="s">
        <v>114</v>
      </c>
      <c r="F135" s="3" t="s">
        <v>232</v>
      </c>
      <c r="G135" s="30" t="s">
        <v>233</v>
      </c>
      <c r="H135" s="52"/>
    </row>
    <row r="136" spans="1:9" ht="15" customHeight="1">
      <c r="A136" s="19"/>
      <c r="B136" s="18"/>
      <c r="C136" s="18"/>
      <c r="D136" s="18"/>
      <c r="E136" s="18"/>
      <c r="F136" s="18"/>
      <c r="G136" s="18"/>
      <c r="H136" s="51"/>
    </row>
    <row r="137" spans="1:9" ht="15" customHeight="1">
      <c r="A137" s="21" t="s">
        <v>377</v>
      </c>
      <c r="B137" s="18"/>
      <c r="C137" s="18"/>
      <c r="D137" s="18"/>
      <c r="E137" s="18"/>
      <c r="F137" s="18"/>
      <c r="G137" s="18"/>
      <c r="H137" s="51"/>
    </row>
    <row r="138" spans="1:9" ht="14.65" customHeight="1">
      <c r="A138" s="2" t="s">
        <v>2</v>
      </c>
      <c r="B138" s="2" t="s">
        <v>3</v>
      </c>
      <c r="C138" s="20" t="s">
        <v>4</v>
      </c>
      <c r="D138" s="18"/>
      <c r="E138" s="2" t="s">
        <v>5</v>
      </c>
      <c r="F138" s="2" t="s">
        <v>6</v>
      </c>
      <c r="G138" s="29" t="s">
        <v>7</v>
      </c>
      <c r="H138" s="47"/>
    </row>
    <row r="139" spans="1:9" ht="15" customHeight="1">
      <c r="A139" s="3" t="s">
        <v>72</v>
      </c>
      <c r="B139" s="3" t="s">
        <v>378</v>
      </c>
      <c r="C139" s="17">
        <v>1</v>
      </c>
      <c r="D139" s="18"/>
      <c r="E139" s="3" t="s">
        <v>74</v>
      </c>
      <c r="F139" s="3" t="s">
        <v>11</v>
      </c>
      <c r="G139" s="30" t="s">
        <v>75</v>
      </c>
      <c r="H139" s="52"/>
    </row>
    <row r="140" spans="1:9" ht="15" customHeight="1">
      <c r="A140" s="3" t="s">
        <v>379</v>
      </c>
      <c r="B140" s="3" t="s">
        <v>380</v>
      </c>
      <c r="C140" s="17">
        <v>6</v>
      </c>
      <c r="D140" s="18"/>
      <c r="E140" s="3" t="s">
        <v>381</v>
      </c>
      <c r="F140" s="3" t="s">
        <v>11</v>
      </c>
      <c r="G140" s="30" t="s">
        <v>382</v>
      </c>
      <c r="H140" s="52"/>
    </row>
    <row r="141" spans="1:9" ht="15" customHeight="1">
      <c r="A141" s="3" t="s">
        <v>13</v>
      </c>
      <c r="B141" s="3" t="s">
        <v>383</v>
      </c>
      <c r="C141" s="17">
        <v>7</v>
      </c>
      <c r="D141" s="18"/>
      <c r="E141" s="3" t="s">
        <v>80</v>
      </c>
      <c r="F141" s="3" t="s">
        <v>16</v>
      </c>
      <c r="G141" s="30" t="s">
        <v>384</v>
      </c>
      <c r="H141" s="52"/>
    </row>
    <row r="142" spans="1:9" ht="15" customHeight="1">
      <c r="A142" s="3" t="s">
        <v>385</v>
      </c>
      <c r="B142" s="3" t="s">
        <v>386</v>
      </c>
      <c r="C142" s="17">
        <v>2</v>
      </c>
      <c r="D142" s="18"/>
      <c r="E142" s="8"/>
      <c r="F142" s="11" t="s">
        <v>387</v>
      </c>
      <c r="G142" s="30" t="s">
        <v>388</v>
      </c>
      <c r="H142" s="52"/>
    </row>
    <row r="143" spans="1:9" ht="15" customHeight="1">
      <c r="A143" s="8"/>
      <c r="B143" s="8"/>
      <c r="C143" s="17">
        <v>2</v>
      </c>
      <c r="D143" s="18"/>
      <c r="E143" s="8"/>
      <c r="F143" s="11" t="s">
        <v>389</v>
      </c>
      <c r="G143" s="30" t="s">
        <v>390</v>
      </c>
      <c r="H143" s="52"/>
    </row>
    <row r="144" spans="1:9" ht="15" customHeight="1">
      <c r="A144" s="8"/>
      <c r="B144" s="8"/>
      <c r="C144" s="17">
        <v>2</v>
      </c>
      <c r="D144" s="18"/>
      <c r="E144" s="8"/>
      <c r="F144" s="11" t="s">
        <v>391</v>
      </c>
      <c r="G144" s="30" t="s">
        <v>392</v>
      </c>
      <c r="H144" s="52"/>
    </row>
    <row r="145" spans="1:8" ht="15" customHeight="1">
      <c r="A145" s="8"/>
      <c r="B145" s="3" t="s">
        <v>393</v>
      </c>
      <c r="C145" s="17">
        <v>1</v>
      </c>
      <c r="D145" s="18"/>
      <c r="E145" s="9"/>
      <c r="F145" s="3" t="s">
        <v>394</v>
      </c>
      <c r="G145" s="30" t="s">
        <v>395</v>
      </c>
      <c r="H145" s="52"/>
    </row>
    <row r="146" spans="1:8" ht="15" customHeight="1">
      <c r="A146" s="8"/>
      <c r="B146" s="8"/>
      <c r="C146" s="17">
        <v>1</v>
      </c>
      <c r="D146" s="18"/>
      <c r="E146" s="9"/>
      <c r="F146" s="3" t="s">
        <v>396</v>
      </c>
      <c r="G146" s="30" t="s">
        <v>397</v>
      </c>
      <c r="H146" s="52"/>
    </row>
    <row r="147" spans="1:8" ht="15" customHeight="1">
      <c r="A147" s="3" t="s">
        <v>398</v>
      </c>
      <c r="B147" s="8"/>
      <c r="C147" s="17">
        <v>1</v>
      </c>
      <c r="D147" s="18"/>
      <c r="E147" s="9"/>
      <c r="F147" s="3" t="s">
        <v>399</v>
      </c>
      <c r="G147" s="30" t="s">
        <v>400</v>
      </c>
      <c r="H147" s="52"/>
    </row>
    <row r="148" spans="1:8" ht="15" customHeight="1">
      <c r="A148" s="8"/>
      <c r="B148" s="3" t="s">
        <v>401</v>
      </c>
      <c r="C148" s="17">
        <v>1</v>
      </c>
      <c r="D148" s="18"/>
      <c r="E148" s="9"/>
      <c r="F148" s="3" t="s">
        <v>402</v>
      </c>
      <c r="G148" s="30" t="s">
        <v>403</v>
      </c>
      <c r="H148" s="52"/>
    </row>
    <row r="149" spans="1:8" ht="15" customHeight="1">
      <c r="A149" s="3" t="s">
        <v>404</v>
      </c>
      <c r="B149" s="3" t="s">
        <v>118</v>
      </c>
      <c r="C149" s="17">
        <v>1</v>
      </c>
      <c r="D149" s="18"/>
      <c r="E149" s="8"/>
      <c r="F149" s="7" t="s">
        <v>405</v>
      </c>
      <c r="G149" s="30" t="s">
        <v>406</v>
      </c>
      <c r="H149" s="52"/>
    </row>
    <row r="150" spans="1:8" ht="15" customHeight="1">
      <c r="A150" s="3" t="s">
        <v>407</v>
      </c>
      <c r="B150" s="3" t="s">
        <v>123</v>
      </c>
      <c r="C150" s="17">
        <v>1</v>
      </c>
      <c r="D150" s="18"/>
      <c r="E150" s="8"/>
      <c r="F150" s="7" t="s">
        <v>408</v>
      </c>
      <c r="G150" s="30" t="s">
        <v>409</v>
      </c>
      <c r="H150" s="52"/>
    </row>
    <row r="151" spans="1:8" ht="15" customHeight="1">
      <c r="A151" s="3" t="s">
        <v>410</v>
      </c>
      <c r="B151" s="3" t="s">
        <v>279</v>
      </c>
      <c r="C151" s="17">
        <v>1</v>
      </c>
      <c r="D151" s="18"/>
      <c r="E151" s="3" t="s">
        <v>411</v>
      </c>
      <c r="F151" s="7" t="s">
        <v>412</v>
      </c>
      <c r="G151" s="30" t="s">
        <v>413</v>
      </c>
      <c r="H151" s="52"/>
    </row>
    <row r="152" spans="1:8" ht="15" customHeight="1">
      <c r="A152" s="3" t="s">
        <v>414</v>
      </c>
      <c r="B152" s="3" t="s">
        <v>283</v>
      </c>
      <c r="C152" s="17">
        <v>1</v>
      </c>
      <c r="D152" s="18"/>
      <c r="E152" s="8"/>
      <c r="F152" s="7" t="s">
        <v>415</v>
      </c>
      <c r="G152" s="30" t="s">
        <v>416</v>
      </c>
      <c r="H152" s="52"/>
    </row>
    <row r="153" spans="1:8" ht="15" customHeight="1">
      <c r="A153" s="3" t="s">
        <v>417</v>
      </c>
      <c r="B153" s="3" t="s">
        <v>418</v>
      </c>
      <c r="C153" s="17">
        <v>1</v>
      </c>
      <c r="D153" s="18"/>
      <c r="E153" s="9"/>
      <c r="F153" s="3" t="s">
        <v>419</v>
      </c>
      <c r="G153" s="30" t="s">
        <v>420</v>
      </c>
      <c r="H153" s="52"/>
    </row>
    <row r="154" spans="1:8" ht="15" customHeight="1">
      <c r="A154" s="8"/>
      <c r="B154" s="3" t="s">
        <v>421</v>
      </c>
      <c r="C154" s="17">
        <v>6</v>
      </c>
      <c r="D154" s="18"/>
      <c r="E154" s="9"/>
      <c r="F154" s="3" t="s">
        <v>422</v>
      </c>
      <c r="G154" s="30" t="s">
        <v>423</v>
      </c>
      <c r="H154" s="52"/>
    </row>
    <row r="155" spans="1:8" ht="15" customHeight="1">
      <c r="A155" s="3" t="s">
        <v>424</v>
      </c>
      <c r="B155" s="3" t="s">
        <v>425</v>
      </c>
      <c r="C155" s="17">
        <v>1</v>
      </c>
      <c r="D155" s="18"/>
      <c r="E155" s="3" t="s">
        <v>426</v>
      </c>
      <c r="F155" s="3" t="s">
        <v>427</v>
      </c>
      <c r="G155" s="37">
        <v>5716404452</v>
      </c>
      <c r="H155" s="59"/>
    </row>
    <row r="156" spans="1:8" ht="15" customHeight="1">
      <c r="A156" s="3" t="s">
        <v>42</v>
      </c>
      <c r="B156" s="3" t="s">
        <v>428</v>
      </c>
      <c r="C156" s="17">
        <v>2</v>
      </c>
      <c r="D156" s="18"/>
      <c r="E156" s="8"/>
      <c r="F156" s="3" t="s">
        <v>37</v>
      </c>
      <c r="G156" s="32" t="s">
        <v>44</v>
      </c>
      <c r="H156" s="54"/>
    </row>
    <row r="157" spans="1:8" ht="15" customHeight="1">
      <c r="A157" s="3" t="s">
        <v>429</v>
      </c>
      <c r="B157" s="3" t="s">
        <v>430</v>
      </c>
      <c r="C157" s="17">
        <v>3</v>
      </c>
      <c r="D157" s="18"/>
      <c r="E157" s="8"/>
      <c r="F157" s="3" t="s">
        <v>37</v>
      </c>
      <c r="G157" s="32" t="s">
        <v>431</v>
      </c>
      <c r="H157" s="54"/>
    </row>
    <row r="158" spans="1:8" ht="15" customHeight="1">
      <c r="A158" s="3" t="s">
        <v>432</v>
      </c>
      <c r="B158" s="3" t="s">
        <v>433</v>
      </c>
      <c r="C158" s="17">
        <v>1</v>
      </c>
      <c r="D158" s="18"/>
      <c r="E158" s="8"/>
      <c r="F158" s="3" t="s">
        <v>37</v>
      </c>
      <c r="G158" s="32" t="s">
        <v>434</v>
      </c>
      <c r="H158" s="54"/>
    </row>
    <row r="159" spans="1:8" ht="15" customHeight="1">
      <c r="A159" s="3" t="s">
        <v>435</v>
      </c>
      <c r="B159" s="3" t="s">
        <v>436</v>
      </c>
      <c r="C159" s="17">
        <v>1</v>
      </c>
      <c r="D159" s="18"/>
      <c r="E159" s="8"/>
      <c r="F159" s="3" t="s">
        <v>37</v>
      </c>
      <c r="G159" s="30" t="s">
        <v>437</v>
      </c>
      <c r="H159" s="52"/>
    </row>
    <row r="160" spans="1:8" ht="15" customHeight="1">
      <c r="A160" s="19"/>
      <c r="B160" s="18"/>
      <c r="C160" s="18"/>
      <c r="D160" s="18"/>
      <c r="E160" s="18"/>
      <c r="F160" s="18"/>
      <c r="G160" s="18"/>
      <c r="H160" s="51"/>
    </row>
    <row r="161" spans="1:8" ht="15" customHeight="1">
      <c r="A161" s="21" t="s">
        <v>438</v>
      </c>
      <c r="B161" s="18"/>
      <c r="C161" s="18"/>
      <c r="D161" s="18"/>
      <c r="E161" s="18"/>
      <c r="F161" s="18"/>
      <c r="G161" s="18"/>
      <c r="H161" s="51"/>
    </row>
    <row r="162" spans="1:8" ht="14.65" customHeight="1">
      <c r="A162" s="2" t="s">
        <v>2</v>
      </c>
      <c r="B162" s="2" t="s">
        <v>3</v>
      </c>
      <c r="C162" s="20" t="s">
        <v>4</v>
      </c>
      <c r="D162" s="18"/>
      <c r="E162" s="2" t="s">
        <v>5</v>
      </c>
      <c r="F162" s="2" t="s">
        <v>6</v>
      </c>
      <c r="G162" s="29" t="s">
        <v>7</v>
      </c>
      <c r="H162" s="47"/>
    </row>
    <row r="163" spans="1:8" ht="15" customHeight="1">
      <c r="A163" s="8"/>
      <c r="B163" s="3" t="s">
        <v>68</v>
      </c>
      <c r="C163" s="17">
        <v>1</v>
      </c>
      <c r="D163" s="18"/>
      <c r="E163" s="9"/>
      <c r="F163" s="3" t="s">
        <v>70</v>
      </c>
      <c r="G163" s="30" t="s">
        <v>71</v>
      </c>
      <c r="H163" s="52"/>
    </row>
    <row r="164" spans="1:8" ht="15" customHeight="1">
      <c r="A164" s="3" t="s">
        <v>8</v>
      </c>
      <c r="B164" s="3" t="s">
        <v>439</v>
      </c>
      <c r="C164" s="17">
        <v>2</v>
      </c>
      <c r="D164" s="18"/>
      <c r="E164" s="3" t="s">
        <v>440</v>
      </c>
      <c r="F164" s="3" t="s">
        <v>11</v>
      </c>
      <c r="G164" s="30" t="s">
        <v>12</v>
      </c>
      <c r="H164" s="52"/>
    </row>
    <row r="165" spans="1:8" ht="15" customHeight="1">
      <c r="A165" s="3" t="s">
        <v>379</v>
      </c>
      <c r="B165" s="3" t="s">
        <v>441</v>
      </c>
      <c r="C165" s="17">
        <v>1</v>
      </c>
      <c r="D165" s="18"/>
      <c r="E165" s="3" t="s">
        <v>440</v>
      </c>
      <c r="F165" s="3" t="s">
        <v>11</v>
      </c>
      <c r="G165" s="31" t="s">
        <v>442</v>
      </c>
      <c r="H165" s="53"/>
    </row>
    <row r="166" spans="1:8" ht="15" customHeight="1">
      <c r="A166" s="3" t="s">
        <v>13</v>
      </c>
      <c r="B166" s="3" t="s">
        <v>443</v>
      </c>
      <c r="C166" s="17">
        <v>3</v>
      </c>
      <c r="D166" s="18"/>
      <c r="E166" s="3" t="s">
        <v>15</v>
      </c>
      <c r="F166" s="3" t="s">
        <v>16</v>
      </c>
      <c r="G166" s="31" t="s">
        <v>17</v>
      </c>
      <c r="H166" s="53"/>
    </row>
    <row r="167" spans="1:8" ht="15" customHeight="1">
      <c r="A167" s="3" t="s">
        <v>444</v>
      </c>
      <c r="B167" s="3" t="s">
        <v>445</v>
      </c>
      <c r="C167" s="17">
        <v>1</v>
      </c>
      <c r="D167" s="18"/>
      <c r="E167" s="3" t="s">
        <v>114</v>
      </c>
      <c r="F167" s="3" t="s">
        <v>446</v>
      </c>
      <c r="G167" s="30" t="s">
        <v>447</v>
      </c>
      <c r="H167" s="52"/>
    </row>
    <row r="168" spans="1:8" ht="15" customHeight="1">
      <c r="A168" s="8"/>
      <c r="B168" s="3" t="s">
        <v>448</v>
      </c>
      <c r="C168" s="17">
        <v>1</v>
      </c>
      <c r="D168" s="18"/>
      <c r="E168" s="9"/>
      <c r="F168" s="3" t="s">
        <v>449</v>
      </c>
      <c r="G168" s="30" t="s">
        <v>450</v>
      </c>
      <c r="H168" s="52"/>
    </row>
    <row r="169" spans="1:8" ht="15" customHeight="1">
      <c r="A169" s="8"/>
      <c r="B169" s="3" t="s">
        <v>451</v>
      </c>
      <c r="C169" s="17">
        <v>3</v>
      </c>
      <c r="D169" s="18"/>
      <c r="E169" s="8"/>
      <c r="F169" s="3" t="s">
        <v>452</v>
      </c>
      <c r="G169" s="30" t="s">
        <v>453</v>
      </c>
      <c r="H169" s="52"/>
    </row>
    <row r="170" spans="1:8" ht="15" customHeight="1">
      <c r="A170" s="3" t="s">
        <v>424</v>
      </c>
      <c r="B170" s="3" t="s">
        <v>454</v>
      </c>
      <c r="C170" s="17">
        <v>1</v>
      </c>
      <c r="D170" s="18"/>
      <c r="E170" s="3" t="s">
        <v>455</v>
      </c>
      <c r="F170" s="3" t="s">
        <v>427</v>
      </c>
      <c r="G170" s="30" t="s">
        <v>456</v>
      </c>
      <c r="H170" s="52"/>
    </row>
    <row r="171" spans="1:8" ht="15" customHeight="1">
      <c r="A171" s="3" t="s">
        <v>457</v>
      </c>
      <c r="B171" s="3" t="s">
        <v>118</v>
      </c>
      <c r="C171" s="17">
        <v>1</v>
      </c>
      <c r="D171" s="18"/>
      <c r="E171" s="3" t="s">
        <v>140</v>
      </c>
      <c r="F171" s="3" t="s">
        <v>458</v>
      </c>
      <c r="G171" s="30" t="s">
        <v>459</v>
      </c>
      <c r="H171" s="52"/>
    </row>
    <row r="172" spans="1:8" ht="15" customHeight="1">
      <c r="A172" s="3" t="s">
        <v>460</v>
      </c>
      <c r="B172" s="3" t="s">
        <v>123</v>
      </c>
      <c r="C172" s="17">
        <v>1</v>
      </c>
      <c r="D172" s="18"/>
      <c r="E172" s="3" t="s">
        <v>124</v>
      </c>
      <c r="F172" s="3" t="s">
        <v>461</v>
      </c>
      <c r="G172" s="30" t="s">
        <v>462</v>
      </c>
      <c r="H172" s="52"/>
    </row>
    <row r="173" spans="1:8" ht="15" customHeight="1">
      <c r="A173" s="3" t="s">
        <v>463</v>
      </c>
      <c r="B173" s="3" t="s">
        <v>279</v>
      </c>
      <c r="C173" s="17">
        <v>1</v>
      </c>
      <c r="D173" s="18"/>
      <c r="E173" s="3" t="s">
        <v>154</v>
      </c>
      <c r="F173" s="3" t="s">
        <v>464</v>
      </c>
      <c r="G173" s="30" t="s">
        <v>465</v>
      </c>
      <c r="H173" s="52"/>
    </row>
    <row r="174" spans="1:8" ht="15" customHeight="1">
      <c r="A174" s="3" t="s">
        <v>466</v>
      </c>
      <c r="B174" s="3" t="s">
        <v>283</v>
      </c>
      <c r="C174" s="17">
        <v>1</v>
      </c>
      <c r="D174" s="18"/>
      <c r="E174" s="3" t="s">
        <v>154</v>
      </c>
      <c r="F174" s="3" t="s">
        <v>467</v>
      </c>
      <c r="G174" s="30" t="s">
        <v>468</v>
      </c>
      <c r="H174" s="52"/>
    </row>
    <row r="175" spans="1:8" ht="15" customHeight="1">
      <c r="A175" s="8"/>
      <c r="B175" s="3" t="s">
        <v>469</v>
      </c>
      <c r="C175" s="17">
        <v>2</v>
      </c>
      <c r="D175" s="18"/>
      <c r="E175" s="8"/>
      <c r="F175" s="5" t="s">
        <v>470</v>
      </c>
      <c r="G175" s="30" t="s">
        <v>471</v>
      </c>
      <c r="H175" s="52"/>
    </row>
    <row r="176" spans="1:8" ht="15" customHeight="1">
      <c r="A176" s="8"/>
      <c r="B176" s="3" t="s">
        <v>472</v>
      </c>
      <c r="C176" s="17">
        <v>1</v>
      </c>
      <c r="D176" s="18"/>
      <c r="E176" s="9"/>
      <c r="F176" s="3" t="s">
        <v>422</v>
      </c>
      <c r="G176" s="30" t="s">
        <v>423</v>
      </c>
      <c r="H176" s="52"/>
    </row>
    <row r="177" spans="1:8" ht="15" customHeight="1">
      <c r="A177" s="3" t="s">
        <v>51</v>
      </c>
      <c r="B177" s="3" t="s">
        <v>473</v>
      </c>
      <c r="C177" s="17">
        <v>1</v>
      </c>
      <c r="D177" s="18"/>
      <c r="E177" s="9"/>
      <c r="F177" s="3" t="s">
        <v>474</v>
      </c>
      <c r="G177" s="31" t="s">
        <v>475</v>
      </c>
      <c r="H177" s="53"/>
    </row>
    <row r="178" spans="1:8" ht="15" customHeight="1">
      <c r="A178" s="3" t="s">
        <v>424</v>
      </c>
      <c r="B178" s="3" t="s">
        <v>425</v>
      </c>
      <c r="C178" s="17">
        <v>1</v>
      </c>
      <c r="D178" s="18"/>
      <c r="E178" s="3" t="s">
        <v>476</v>
      </c>
      <c r="F178" s="3" t="s">
        <v>427</v>
      </c>
      <c r="G178" s="37">
        <v>5716404452</v>
      </c>
      <c r="H178" s="59"/>
    </row>
    <row r="179" spans="1:8" ht="15" customHeight="1">
      <c r="A179" s="3" t="s">
        <v>35</v>
      </c>
      <c r="B179" s="3" t="s">
        <v>477</v>
      </c>
      <c r="C179" s="17">
        <v>1</v>
      </c>
      <c r="D179" s="18"/>
      <c r="E179" s="8"/>
      <c r="F179" s="3" t="s">
        <v>37</v>
      </c>
      <c r="G179" s="32" t="s">
        <v>38</v>
      </c>
      <c r="H179" s="54"/>
    </row>
    <row r="180" spans="1:8" ht="15" customHeight="1">
      <c r="A180" s="3" t="s">
        <v>39</v>
      </c>
      <c r="B180" s="3" t="s">
        <v>224</v>
      </c>
      <c r="C180" s="17">
        <v>1</v>
      </c>
      <c r="D180" s="18"/>
      <c r="E180" s="8"/>
      <c r="F180" s="3" t="s">
        <v>37</v>
      </c>
      <c r="G180" s="32" t="s">
        <v>41</v>
      </c>
      <c r="H180" s="54"/>
    </row>
    <row r="181" spans="1:8" ht="15" customHeight="1">
      <c r="A181" s="3" t="s">
        <v>42</v>
      </c>
      <c r="B181" s="3" t="s">
        <v>478</v>
      </c>
      <c r="C181" s="17">
        <v>1</v>
      </c>
      <c r="D181" s="18"/>
      <c r="E181" s="8"/>
      <c r="F181" s="3" t="s">
        <v>37</v>
      </c>
      <c r="G181" s="32" t="s">
        <v>44</v>
      </c>
      <c r="H181" s="54"/>
    </row>
    <row r="182" spans="1:8" ht="15" customHeight="1">
      <c r="A182" s="3" t="s">
        <v>479</v>
      </c>
      <c r="B182" s="3" t="s">
        <v>436</v>
      </c>
      <c r="C182" s="17">
        <v>1</v>
      </c>
      <c r="D182" s="18"/>
      <c r="E182" s="8"/>
      <c r="F182" s="3" t="s">
        <v>37</v>
      </c>
      <c r="G182" s="32" t="s">
        <v>480</v>
      </c>
      <c r="H182" s="54"/>
    </row>
    <row r="183" spans="1:8" ht="15" customHeight="1">
      <c r="A183" s="3" t="s">
        <v>481</v>
      </c>
      <c r="B183" s="3" t="s">
        <v>482</v>
      </c>
      <c r="C183" s="17">
        <v>1</v>
      </c>
      <c r="D183" s="18"/>
      <c r="E183" s="8"/>
      <c r="F183" s="3" t="s">
        <v>37</v>
      </c>
      <c r="G183" s="32" t="s">
        <v>483</v>
      </c>
      <c r="H183" s="54"/>
    </row>
    <row r="184" spans="1:8" ht="15" customHeight="1">
      <c r="A184" s="3" t="s">
        <v>484</v>
      </c>
      <c r="B184" s="3" t="s">
        <v>433</v>
      </c>
      <c r="C184" s="17">
        <v>1</v>
      </c>
      <c r="D184" s="18"/>
      <c r="E184" s="8"/>
      <c r="F184" s="3" t="s">
        <v>37</v>
      </c>
      <c r="G184" s="32" t="s">
        <v>485</v>
      </c>
      <c r="H184" s="54"/>
    </row>
    <row r="185" spans="1:8" ht="15" customHeight="1">
      <c r="A185" s="3" t="s">
        <v>223</v>
      </c>
      <c r="B185" s="3" t="s">
        <v>486</v>
      </c>
      <c r="C185" s="17">
        <v>2</v>
      </c>
      <c r="D185" s="18"/>
      <c r="E185" s="8"/>
      <c r="F185" s="3" t="s">
        <v>37</v>
      </c>
      <c r="G185" s="32" t="s">
        <v>225</v>
      </c>
      <c r="H185" s="54"/>
    </row>
    <row r="186" spans="1:8" ht="15" customHeight="1">
      <c r="A186" s="3" t="s">
        <v>487</v>
      </c>
      <c r="B186" s="3" t="s">
        <v>488</v>
      </c>
      <c r="C186" s="17">
        <v>3</v>
      </c>
      <c r="D186" s="18"/>
      <c r="E186" s="8"/>
      <c r="F186" s="3" t="s">
        <v>37</v>
      </c>
      <c r="G186" s="32" t="s">
        <v>489</v>
      </c>
      <c r="H186" s="54"/>
    </row>
    <row r="187" spans="1:8" ht="15" customHeight="1">
      <c r="A187" s="3" t="s">
        <v>490</v>
      </c>
      <c r="B187" s="3" t="s">
        <v>187</v>
      </c>
      <c r="C187" s="17">
        <v>1</v>
      </c>
      <c r="D187" s="18"/>
      <c r="E187" s="8"/>
      <c r="F187" s="3" t="s">
        <v>37</v>
      </c>
      <c r="G187" s="30" t="s">
        <v>491</v>
      </c>
      <c r="H187" s="52"/>
    </row>
    <row r="188" spans="1:8" ht="15" customHeight="1">
      <c r="A188" s="8"/>
      <c r="B188" s="3" t="s">
        <v>492</v>
      </c>
      <c r="C188" s="17">
        <v>1</v>
      </c>
      <c r="D188" s="18"/>
      <c r="E188" s="8"/>
      <c r="F188" s="5" t="s">
        <v>493</v>
      </c>
      <c r="G188" s="30" t="s">
        <v>494</v>
      </c>
      <c r="H188" s="52"/>
    </row>
    <row r="189" spans="1:8" ht="15" customHeight="1">
      <c r="A189" s="19"/>
      <c r="B189" s="18"/>
      <c r="C189" s="18"/>
      <c r="D189" s="18"/>
      <c r="E189" s="18"/>
      <c r="F189" s="18"/>
      <c r="G189" s="18"/>
      <c r="H189" s="51"/>
    </row>
    <row r="190" spans="1:8" ht="15" customHeight="1">
      <c r="A190" s="21" t="s">
        <v>495</v>
      </c>
      <c r="B190" s="18"/>
      <c r="C190" s="18"/>
      <c r="D190" s="18"/>
      <c r="E190" s="18"/>
      <c r="F190" s="18"/>
      <c r="G190" s="18"/>
      <c r="H190" s="51"/>
    </row>
    <row r="191" spans="1:8" ht="14.65" customHeight="1">
      <c r="A191" s="12"/>
      <c r="B191" s="12"/>
      <c r="C191" s="20" t="s">
        <v>4</v>
      </c>
      <c r="D191" s="18"/>
      <c r="E191" s="12"/>
      <c r="F191" s="2" t="s">
        <v>6</v>
      </c>
      <c r="G191" s="29" t="s">
        <v>7</v>
      </c>
      <c r="H191" s="47"/>
    </row>
    <row r="192" spans="1:8" ht="14.65" customHeight="1">
      <c r="A192" s="13"/>
      <c r="B192" s="13"/>
      <c r="C192" s="22">
        <v>1</v>
      </c>
      <c r="D192" s="18"/>
      <c r="E192" s="14"/>
      <c r="F192" s="15" t="s">
        <v>496</v>
      </c>
      <c r="G192" s="38" t="s">
        <v>497</v>
      </c>
      <c r="H192" s="60"/>
    </row>
    <row r="193" spans="1:8" ht="14.65" customHeight="1">
      <c r="A193" s="13"/>
      <c r="B193" s="13"/>
      <c r="C193" s="22">
        <v>1</v>
      </c>
      <c r="D193" s="18"/>
      <c r="E193" s="14"/>
      <c r="F193" s="15" t="s">
        <v>498</v>
      </c>
      <c r="G193" s="38" t="s">
        <v>499</v>
      </c>
      <c r="H193" s="60"/>
    </row>
    <row r="194" spans="1:8" ht="14.65" customHeight="1">
      <c r="A194" s="13"/>
      <c r="B194" s="13"/>
      <c r="C194" s="22">
        <v>1</v>
      </c>
      <c r="D194" s="18"/>
      <c r="E194" s="14"/>
      <c r="F194" s="15" t="s">
        <v>500</v>
      </c>
      <c r="G194" s="38" t="s">
        <v>501</v>
      </c>
      <c r="H194" s="60"/>
    </row>
    <row r="195" spans="1:8" ht="14.65" customHeight="1">
      <c r="A195" s="13"/>
      <c r="B195" s="13"/>
      <c r="C195" s="22">
        <v>2</v>
      </c>
      <c r="D195" s="18"/>
      <c r="E195" s="13"/>
      <c r="F195" s="16" t="s">
        <v>502</v>
      </c>
      <c r="G195" s="38" t="s">
        <v>503</v>
      </c>
      <c r="H195" s="60"/>
    </row>
    <row r="196" spans="1:8" ht="14.65" customHeight="1">
      <c r="A196" s="13"/>
      <c r="B196" s="13"/>
      <c r="C196" s="22">
        <v>2</v>
      </c>
      <c r="D196" s="18"/>
      <c r="E196" s="13"/>
      <c r="F196" s="16" t="s">
        <v>504</v>
      </c>
      <c r="G196" s="38" t="s">
        <v>505</v>
      </c>
      <c r="H196" s="60"/>
    </row>
    <row r="197" spans="1:8" ht="14.65" customHeight="1">
      <c r="A197" s="13"/>
      <c r="B197" s="13"/>
      <c r="C197" s="22">
        <v>1</v>
      </c>
      <c r="D197" s="18"/>
      <c r="E197" s="13"/>
      <c r="F197" s="16" t="s">
        <v>506</v>
      </c>
      <c r="G197" s="38" t="s">
        <v>507</v>
      </c>
      <c r="H197" s="60"/>
    </row>
    <row r="198" spans="1:8" ht="14.65" customHeight="1">
      <c r="A198" s="13"/>
      <c r="B198" s="13"/>
      <c r="C198" s="22">
        <v>1</v>
      </c>
      <c r="D198" s="18"/>
      <c r="E198" s="13"/>
      <c r="F198" s="16" t="s">
        <v>508</v>
      </c>
      <c r="G198" s="38" t="s">
        <v>509</v>
      </c>
      <c r="H198" s="60"/>
    </row>
    <row r="199" spans="1:8" ht="14.65" customHeight="1">
      <c r="A199" s="13"/>
      <c r="B199" s="13"/>
      <c r="C199" s="22">
        <v>1</v>
      </c>
      <c r="D199" s="18"/>
      <c r="E199" s="13"/>
      <c r="F199" s="16" t="s">
        <v>510</v>
      </c>
      <c r="G199" s="38" t="s">
        <v>511</v>
      </c>
      <c r="H199" s="60"/>
    </row>
    <row r="200" spans="1:8" ht="14.65" customHeight="1">
      <c r="A200" s="13"/>
      <c r="B200" s="13"/>
      <c r="C200" s="22">
        <v>38</v>
      </c>
      <c r="D200" s="18"/>
      <c r="E200" s="14"/>
      <c r="F200" s="15" t="s">
        <v>512</v>
      </c>
      <c r="G200" s="39" t="s">
        <v>513</v>
      </c>
      <c r="H200" s="61"/>
    </row>
    <row r="201" spans="1:8" ht="14.65" customHeight="1">
      <c r="A201" s="13"/>
      <c r="B201" s="13"/>
      <c r="C201" s="22">
        <v>1</v>
      </c>
      <c r="D201" s="18"/>
      <c r="E201" s="14"/>
      <c r="F201" s="15" t="s">
        <v>514</v>
      </c>
      <c r="G201" s="40" t="s">
        <v>515</v>
      </c>
      <c r="H201" s="62"/>
    </row>
    <row r="202" spans="1:8" ht="14.65" customHeight="1">
      <c r="A202" s="13"/>
      <c r="B202" s="13"/>
      <c r="C202" s="22">
        <v>107</v>
      </c>
      <c r="D202" s="18"/>
      <c r="E202" s="14"/>
      <c r="F202" s="15" t="s">
        <v>516</v>
      </c>
      <c r="G202" s="39" t="s">
        <v>517</v>
      </c>
      <c r="H202" s="61"/>
    </row>
    <row r="203" spans="1:8" ht="14.65" customHeight="1">
      <c r="A203" s="13"/>
      <c r="B203" s="13"/>
      <c r="C203" s="22">
        <v>52</v>
      </c>
      <c r="D203" s="18"/>
      <c r="E203" s="14"/>
      <c r="F203" s="15" t="s">
        <v>518</v>
      </c>
      <c r="G203" s="39" t="s">
        <v>519</v>
      </c>
      <c r="H203" s="61"/>
    </row>
    <row r="204" spans="1:8" ht="14.65" customHeight="1">
      <c r="A204" s="13"/>
      <c r="B204" s="13"/>
      <c r="C204" s="22">
        <v>5</v>
      </c>
      <c r="D204" s="18"/>
      <c r="E204" s="14"/>
      <c r="F204" s="15" t="s">
        <v>520</v>
      </c>
      <c r="G204" s="41" t="s">
        <v>521</v>
      </c>
      <c r="H204" s="61"/>
    </row>
    <row r="205" spans="1:8" ht="14.65" customHeight="1">
      <c r="A205" s="13"/>
      <c r="B205" s="13"/>
      <c r="C205" s="22">
        <v>17</v>
      </c>
      <c r="D205" s="18"/>
      <c r="E205" s="14"/>
      <c r="F205" s="15" t="s">
        <v>522</v>
      </c>
      <c r="G205" s="42"/>
      <c r="H205" s="63"/>
    </row>
    <row r="206" spans="1:8" ht="14.65" customHeight="1">
      <c r="A206" s="13"/>
      <c r="B206" s="13"/>
      <c r="C206" s="22">
        <v>18</v>
      </c>
      <c r="D206" s="18"/>
      <c r="E206" s="14"/>
      <c r="F206" s="15" t="s">
        <v>523</v>
      </c>
      <c r="G206" s="42"/>
      <c r="H206" s="63"/>
    </row>
    <row r="207" spans="1:8" ht="14.65" customHeight="1">
      <c r="A207" s="13"/>
      <c r="B207" s="13"/>
      <c r="C207" s="22">
        <v>4</v>
      </c>
      <c r="D207" s="18"/>
      <c r="E207" s="14"/>
      <c r="F207" s="15" t="s">
        <v>524</v>
      </c>
      <c r="G207" s="42"/>
      <c r="H207" s="63"/>
    </row>
    <row r="208" spans="1:8" ht="14.65" customHeight="1">
      <c r="A208" s="13"/>
      <c r="B208" s="13"/>
      <c r="C208" s="22">
        <v>15</v>
      </c>
      <c r="D208" s="18"/>
      <c r="E208" s="14"/>
      <c r="F208" s="15" t="s">
        <v>525</v>
      </c>
      <c r="G208" s="42"/>
      <c r="H208" s="63"/>
    </row>
    <row r="209" spans="1:8" ht="14.65" customHeight="1">
      <c r="A209" s="13"/>
      <c r="B209" s="13"/>
      <c r="C209" s="22">
        <v>11</v>
      </c>
      <c r="D209" s="18"/>
      <c r="E209" s="14"/>
      <c r="F209" s="15" t="s">
        <v>526</v>
      </c>
      <c r="G209" s="42"/>
      <c r="H209" s="63"/>
    </row>
    <row r="210" spans="1:8" ht="14.65" customHeight="1">
      <c r="A210" s="13"/>
      <c r="B210" s="13"/>
      <c r="C210" s="22">
        <v>1</v>
      </c>
      <c r="D210" s="18"/>
      <c r="E210" s="14"/>
      <c r="F210" s="15" t="s">
        <v>527</v>
      </c>
      <c r="G210" s="41" t="s">
        <v>528</v>
      </c>
      <c r="H210" s="61"/>
    </row>
    <row r="211" spans="1:8" ht="14.65" customHeight="1">
      <c r="A211" s="13"/>
      <c r="B211" s="13"/>
      <c r="C211" s="22">
        <v>1</v>
      </c>
      <c r="D211" s="18"/>
      <c r="E211" s="14"/>
      <c r="F211" s="15" t="s">
        <v>529</v>
      </c>
      <c r="G211" s="43"/>
      <c r="H211" s="51"/>
    </row>
    <row r="212" spans="1:8" ht="14.65" customHeight="1">
      <c r="A212" s="13"/>
      <c r="B212" s="13"/>
      <c r="C212" s="22">
        <v>1</v>
      </c>
      <c r="D212" s="18"/>
      <c r="E212" s="14"/>
      <c r="F212" s="15" t="s">
        <v>530</v>
      </c>
      <c r="G212" s="43"/>
      <c r="H212" s="51"/>
    </row>
    <row r="213" spans="1:8" ht="14.65" customHeight="1">
      <c r="A213" s="13"/>
      <c r="B213" s="13"/>
      <c r="C213" s="22">
        <v>15</v>
      </c>
      <c r="D213" s="18"/>
      <c r="E213" s="14"/>
      <c r="F213" s="15" t="s">
        <v>531</v>
      </c>
      <c r="G213" s="43"/>
      <c r="H213" s="51"/>
    </row>
    <row r="214" spans="1:8" ht="14.65" customHeight="1">
      <c r="A214" s="13"/>
      <c r="B214" s="13"/>
      <c r="C214" s="22">
        <v>1</v>
      </c>
      <c r="D214" s="18"/>
      <c r="E214" s="14"/>
      <c r="F214" s="15" t="s">
        <v>532</v>
      </c>
      <c r="G214" s="43"/>
      <c r="H214" s="51"/>
    </row>
    <row r="215" spans="1:8" ht="14.65" customHeight="1">
      <c r="A215" s="13"/>
      <c r="B215" s="13"/>
      <c r="C215" s="22">
        <v>8</v>
      </c>
      <c r="D215" s="18"/>
      <c r="E215" s="14"/>
      <c r="F215" s="15" t="s">
        <v>533</v>
      </c>
      <c r="G215" s="39" t="s">
        <v>534</v>
      </c>
      <c r="H215" s="61"/>
    </row>
    <row r="216" spans="1:8" ht="14.65" customHeight="1">
      <c r="A216" s="13"/>
      <c r="B216" s="13"/>
      <c r="C216" s="22">
        <v>30</v>
      </c>
      <c r="D216" s="18"/>
      <c r="E216" s="14"/>
      <c r="F216" s="15" t="s">
        <v>535</v>
      </c>
      <c r="G216" s="39" t="s">
        <v>534</v>
      </c>
      <c r="H216" s="61"/>
    </row>
    <row r="217" spans="1:8" ht="14.65" customHeight="1">
      <c r="A217" s="13"/>
      <c r="B217" s="13"/>
      <c r="C217" s="22">
        <v>4</v>
      </c>
      <c r="D217" s="18"/>
      <c r="E217" s="14"/>
      <c r="F217" s="15" t="s">
        <v>536</v>
      </c>
      <c r="G217" s="39" t="s">
        <v>537</v>
      </c>
      <c r="H217" s="61"/>
    </row>
    <row r="218" spans="1:8" ht="14.65" customHeight="1">
      <c r="A218" s="13"/>
      <c r="B218" s="13"/>
      <c r="C218" s="22">
        <v>4</v>
      </c>
      <c r="D218" s="18"/>
      <c r="E218" s="14"/>
      <c r="F218" s="15" t="s">
        <v>538</v>
      </c>
      <c r="G218" s="39" t="s">
        <v>539</v>
      </c>
      <c r="H218" s="61"/>
    </row>
    <row r="219" spans="1:8" ht="14.65" customHeight="1">
      <c r="A219" s="13"/>
      <c r="B219" s="13"/>
      <c r="C219" s="22">
        <v>11</v>
      </c>
      <c r="D219" s="18"/>
      <c r="E219" s="14"/>
      <c r="F219" s="15" t="s">
        <v>540</v>
      </c>
      <c r="G219" s="39" t="s">
        <v>541</v>
      </c>
      <c r="H219" s="61"/>
    </row>
    <row r="220" spans="1:8" ht="14.65" customHeight="1">
      <c r="A220" s="13"/>
      <c r="B220" s="13"/>
      <c r="C220" s="22">
        <v>11</v>
      </c>
      <c r="D220" s="18"/>
      <c r="E220" s="14"/>
      <c r="F220" s="15" t="s">
        <v>542</v>
      </c>
      <c r="G220" s="39" t="s">
        <v>543</v>
      </c>
      <c r="H220" s="61"/>
    </row>
    <row r="221" spans="1:8" ht="14.65" customHeight="1">
      <c r="A221" s="13"/>
      <c r="B221" s="13"/>
      <c r="C221" s="22">
        <v>4</v>
      </c>
      <c r="D221" s="18"/>
      <c r="E221" s="14"/>
      <c r="F221" s="15" t="s">
        <v>544</v>
      </c>
      <c r="G221" s="39" t="s">
        <v>545</v>
      </c>
      <c r="H221" s="61"/>
    </row>
    <row r="222" spans="1:8" ht="14.65" customHeight="1">
      <c r="A222" s="13"/>
      <c r="B222" s="13"/>
      <c r="C222" s="22">
        <v>4</v>
      </c>
      <c r="D222" s="18"/>
      <c r="E222" s="14"/>
      <c r="F222" s="15" t="s">
        <v>546</v>
      </c>
      <c r="G222" s="39" t="s">
        <v>547</v>
      </c>
      <c r="H222" s="61"/>
    </row>
    <row r="223" spans="1:8" ht="14.65" customHeight="1">
      <c r="A223" s="13"/>
      <c r="B223" s="13"/>
      <c r="C223" s="22">
        <v>10</v>
      </c>
      <c r="D223" s="18"/>
      <c r="E223" s="14"/>
      <c r="F223" s="15" t="s">
        <v>548</v>
      </c>
      <c r="G223" s="39" t="s">
        <v>547</v>
      </c>
      <c r="H223" s="61"/>
    </row>
    <row r="224" spans="1:8" ht="14.65" customHeight="1">
      <c r="A224" s="13"/>
      <c r="B224" s="13"/>
      <c r="C224" s="22">
        <v>2</v>
      </c>
      <c r="D224" s="18"/>
      <c r="E224" s="14"/>
      <c r="F224" s="15" t="s">
        <v>549</v>
      </c>
      <c r="G224" s="39" t="s">
        <v>550</v>
      </c>
      <c r="H224" s="61"/>
    </row>
    <row r="225" spans="1:8" ht="14.65" customHeight="1">
      <c r="A225" s="13"/>
      <c r="B225" s="13"/>
      <c r="C225" s="22">
        <v>1</v>
      </c>
      <c r="D225" s="18"/>
      <c r="E225" s="14"/>
      <c r="F225" s="15" t="s">
        <v>551</v>
      </c>
      <c r="G225" s="39" t="s">
        <v>552</v>
      </c>
      <c r="H225" s="61"/>
    </row>
    <row r="226" spans="1:8" ht="14.65" customHeight="1">
      <c r="A226" s="13"/>
      <c r="B226" s="13"/>
      <c r="C226" s="22">
        <v>1</v>
      </c>
      <c r="D226" s="18"/>
      <c r="E226" s="14"/>
      <c r="F226" s="15" t="s">
        <v>553</v>
      </c>
      <c r="G226" s="39" t="s">
        <v>554</v>
      </c>
      <c r="H226" s="61"/>
    </row>
    <row r="227" spans="1:8" ht="14.65" customHeight="1">
      <c r="A227" s="13"/>
      <c r="B227" s="13"/>
      <c r="C227" s="22">
        <v>1</v>
      </c>
      <c r="D227" s="18"/>
      <c r="E227" s="14"/>
      <c r="F227" s="15" t="s">
        <v>555</v>
      </c>
      <c r="G227" s="39" t="s">
        <v>556</v>
      </c>
      <c r="H227" s="61"/>
    </row>
    <row r="228" spans="1:8" ht="14.65" customHeight="1">
      <c r="A228" s="13"/>
      <c r="B228" s="14"/>
      <c r="C228" s="22">
        <v>4</v>
      </c>
      <c r="D228" s="18"/>
      <c r="E228" s="14"/>
      <c r="F228" s="15" t="s">
        <v>557</v>
      </c>
      <c r="G228" s="39" t="s">
        <v>558</v>
      </c>
      <c r="H228" s="61"/>
    </row>
    <row r="229" spans="1:8" ht="14.65" customHeight="1">
      <c r="A229" s="13"/>
      <c r="B229" s="14"/>
      <c r="C229" s="22">
        <v>1</v>
      </c>
      <c r="D229" s="18"/>
      <c r="E229" s="14"/>
      <c r="F229" s="15" t="s">
        <v>559</v>
      </c>
      <c r="G229" s="44" t="s">
        <v>560</v>
      </c>
      <c r="H229" s="64"/>
    </row>
    <row r="230" spans="1:8" ht="14.65" customHeight="1">
      <c r="A230" s="13"/>
      <c r="B230" s="13"/>
      <c r="C230" s="22">
        <v>1</v>
      </c>
      <c r="D230" s="18"/>
      <c r="E230" s="14"/>
      <c r="F230" s="15" t="s">
        <v>561</v>
      </c>
      <c r="G230" s="45"/>
      <c r="H230" s="65"/>
    </row>
    <row r="231" spans="1:8" ht="14.65" customHeight="1">
      <c r="A231" s="28"/>
      <c r="B231" s="18"/>
      <c r="C231" s="18"/>
      <c r="D231" s="18"/>
      <c r="E231" s="18"/>
      <c r="F231" s="18"/>
      <c r="G231" s="18"/>
      <c r="H231" s="51"/>
    </row>
    <row r="232" spans="1:8" ht="14.65" customHeight="1">
      <c r="A232" s="27" t="s">
        <v>562</v>
      </c>
      <c r="B232" s="18"/>
      <c r="C232" s="18"/>
      <c r="D232" s="18"/>
      <c r="E232" s="18"/>
      <c r="F232" s="18"/>
      <c r="G232" s="18"/>
      <c r="H232" s="51"/>
    </row>
    <row r="233" spans="1:8" ht="14.65" customHeight="1">
      <c r="A233" s="24" t="s">
        <v>563</v>
      </c>
      <c r="B233" s="18"/>
      <c r="C233" s="18"/>
      <c r="D233" s="18"/>
      <c r="E233" s="18"/>
      <c r="F233" s="18"/>
      <c r="G233" s="18"/>
      <c r="H233" s="51"/>
    </row>
    <row r="234" spans="1:8" ht="14.65" customHeight="1">
      <c r="A234" s="24" t="s">
        <v>564</v>
      </c>
      <c r="B234" s="18"/>
      <c r="C234" s="18"/>
      <c r="D234" s="18"/>
      <c r="E234" s="18"/>
      <c r="F234" s="18"/>
      <c r="G234" s="18"/>
      <c r="H234" s="51"/>
    </row>
    <row r="235" spans="1:8" ht="14.65" customHeight="1">
      <c r="A235" s="24" t="s">
        <v>565</v>
      </c>
      <c r="B235" s="18"/>
      <c r="C235" s="18"/>
      <c r="D235" s="18"/>
      <c r="E235" s="18"/>
      <c r="F235" s="18"/>
      <c r="G235" s="18"/>
      <c r="H235" s="51"/>
    </row>
    <row r="236" spans="1:8" ht="14.65" customHeight="1">
      <c r="A236" s="24" t="s">
        <v>566</v>
      </c>
      <c r="B236" s="18"/>
      <c r="C236" s="18"/>
      <c r="D236" s="18"/>
      <c r="E236" s="18"/>
      <c r="F236" s="18"/>
      <c r="G236" s="18"/>
      <c r="H236" s="51"/>
    </row>
    <row r="237" spans="1:8" ht="14.65" customHeight="1">
      <c r="A237" s="25" t="s">
        <v>567</v>
      </c>
      <c r="B237" s="26"/>
      <c r="C237" s="26"/>
      <c r="D237" s="26"/>
      <c r="E237" s="26"/>
      <c r="F237" s="26"/>
      <c r="G237" s="26"/>
      <c r="H237" s="51"/>
    </row>
  </sheetData>
  <mergeCells count="188">
    <mergeCell ref="C3:D3"/>
    <mergeCell ref="C214:D214"/>
    <mergeCell ref="C17:D17"/>
    <mergeCell ref="C164:D164"/>
    <mergeCell ref="C186:D186"/>
    <mergeCell ref="C163:D163"/>
    <mergeCell ref="C168:D168"/>
    <mergeCell ref="H22:J22"/>
    <mergeCell ref="I23:J23"/>
    <mergeCell ref="C19:D19"/>
    <mergeCell ref="C216:D216"/>
    <mergeCell ref="C169:D169"/>
    <mergeCell ref="C167:D167"/>
    <mergeCell ref="C16:D16"/>
    <mergeCell ref="C213:D213"/>
    <mergeCell ref="C166:D166"/>
    <mergeCell ref="C197:D197"/>
    <mergeCell ref="C200:D200"/>
    <mergeCell ref="C25:D25"/>
    <mergeCell ref="C222:D222"/>
    <mergeCell ref="C175:D175"/>
    <mergeCell ref="C174:D174"/>
    <mergeCell ref="C23:D23"/>
    <mergeCell ref="G204:G209"/>
    <mergeCell ref="C220:D220"/>
    <mergeCell ref="C173:D173"/>
    <mergeCell ref="C219:D219"/>
    <mergeCell ref="C172:D172"/>
    <mergeCell ref="C171:D171"/>
    <mergeCell ref="C170:D170"/>
    <mergeCell ref="C28:D28"/>
    <mergeCell ref="C225:D225"/>
    <mergeCell ref="C178:D178"/>
    <mergeCell ref="A232:G232"/>
    <mergeCell ref="C27:D27"/>
    <mergeCell ref="C224:D224"/>
    <mergeCell ref="C177:D177"/>
    <mergeCell ref="A231:G231"/>
    <mergeCell ref="C26:D26"/>
    <mergeCell ref="C223:D223"/>
    <mergeCell ref="C176:D176"/>
    <mergeCell ref="C4:D4"/>
    <mergeCell ref="C202:D202"/>
    <mergeCell ref="C5:D5"/>
    <mergeCell ref="C195:D195"/>
    <mergeCell ref="C33:D33"/>
    <mergeCell ref="C230:D230"/>
    <mergeCell ref="C194:D194"/>
    <mergeCell ref="A234:G234"/>
    <mergeCell ref="G210:G214"/>
    <mergeCell ref="C29:D29"/>
    <mergeCell ref="C226:D226"/>
    <mergeCell ref="C193:D193"/>
    <mergeCell ref="C215:D215"/>
    <mergeCell ref="C18:D18"/>
    <mergeCell ref="C15:D15"/>
    <mergeCell ref="C212:D212"/>
    <mergeCell ref="C192:D192"/>
    <mergeCell ref="C12:D12"/>
    <mergeCell ref="C209:D209"/>
    <mergeCell ref="A22:G22"/>
    <mergeCell ref="C211:D211"/>
    <mergeCell ref="C14:D14"/>
    <mergeCell ref="C11:D11"/>
    <mergeCell ref="C208:D208"/>
    <mergeCell ref="C9:D9"/>
    <mergeCell ref="C205:D205"/>
    <mergeCell ref="C8:D8"/>
    <mergeCell ref="C217:D217"/>
    <mergeCell ref="C20:D20"/>
    <mergeCell ref="C204:D204"/>
    <mergeCell ref="C7:D7"/>
    <mergeCell ref="C203:D203"/>
    <mergeCell ref="C6:D6"/>
    <mergeCell ref="C198:D198"/>
    <mergeCell ref="C201:D201"/>
    <mergeCell ref="A21:G21"/>
    <mergeCell ref="C210:D210"/>
    <mergeCell ref="C13:D13"/>
    <mergeCell ref="C207:D207"/>
    <mergeCell ref="C10:D10"/>
    <mergeCell ref="C188:D188"/>
    <mergeCell ref="C183:D183"/>
    <mergeCell ref="C184:D184"/>
    <mergeCell ref="A189:G189"/>
    <mergeCell ref="C181:D181"/>
    <mergeCell ref="C179:D179"/>
    <mergeCell ref="C30:D30"/>
    <mergeCell ref="C180:D180"/>
    <mergeCell ref="A237:G237"/>
    <mergeCell ref="C32:D32"/>
    <mergeCell ref="C35:D35"/>
    <mergeCell ref="C221:D221"/>
    <mergeCell ref="C24:D24"/>
    <mergeCell ref="C196:D196"/>
    <mergeCell ref="C187:D187"/>
    <mergeCell ref="C158:D158"/>
    <mergeCell ref="C157:D157"/>
    <mergeCell ref="C156:D156"/>
    <mergeCell ref="C159:D159"/>
    <mergeCell ref="C155:D155"/>
    <mergeCell ref="C154:D154"/>
    <mergeCell ref="A161:G161"/>
    <mergeCell ref="C153:D153"/>
    <mergeCell ref="A160:G160"/>
    <mergeCell ref="C152:D152"/>
    <mergeCell ref="C151:D151"/>
    <mergeCell ref="C150:D150"/>
    <mergeCell ref="C149:D149"/>
    <mergeCell ref="C148:D148"/>
    <mergeCell ref="C147:D147"/>
    <mergeCell ref="C146:D146"/>
    <mergeCell ref="C145:D145"/>
    <mergeCell ref="C41:D41"/>
    <mergeCell ref="C40:D40"/>
    <mergeCell ref="C39:D39"/>
    <mergeCell ref="C36:D36"/>
    <mergeCell ref="A236:G236"/>
    <mergeCell ref="C228:D228"/>
    <mergeCell ref="C31:D31"/>
    <mergeCell ref="C34:D34"/>
    <mergeCell ref="C38:D38"/>
    <mergeCell ref="C37:D37"/>
    <mergeCell ref="C229:D229"/>
    <mergeCell ref="C142:D142"/>
    <mergeCell ref="C139:D139"/>
    <mergeCell ref="C140:D140"/>
    <mergeCell ref="C141:D141"/>
    <mergeCell ref="C206:D206"/>
    <mergeCell ref="A235:G235"/>
    <mergeCell ref="C227:D227"/>
    <mergeCell ref="C185:D185"/>
    <mergeCell ref="A190:G190"/>
    <mergeCell ref="C182:D182"/>
    <mergeCell ref="A233:G233"/>
    <mergeCell ref="C50:D50"/>
    <mergeCell ref="C49:D49"/>
    <mergeCell ref="A51:F51"/>
    <mergeCell ref="C43:D43"/>
    <mergeCell ref="C48:D48"/>
    <mergeCell ref="C42:D42"/>
    <mergeCell ref="C47:D47"/>
    <mergeCell ref="C46:D46"/>
    <mergeCell ref="C45:D45"/>
    <mergeCell ref="C56:D56"/>
    <mergeCell ref="A79:G79"/>
    <mergeCell ref="C71:D71"/>
    <mergeCell ref="C62:D62"/>
    <mergeCell ref="C63:D63"/>
    <mergeCell ref="A80:G80"/>
    <mergeCell ref="C72:D72"/>
    <mergeCell ref="C74:D74"/>
    <mergeCell ref="C75:D75"/>
    <mergeCell ref="C76:D76"/>
    <mergeCell ref="A2:G2"/>
    <mergeCell ref="A1:G1"/>
    <mergeCell ref="C143:D143"/>
    <mergeCell ref="A136:G136"/>
    <mergeCell ref="C44:D44"/>
    <mergeCell ref="C52:D52"/>
    <mergeCell ref="C77:D77"/>
    <mergeCell ref="C53:D53"/>
    <mergeCell ref="C54:D54"/>
    <mergeCell ref="C78:D78"/>
    <mergeCell ref="C55:D55"/>
    <mergeCell ref="C70:D70"/>
    <mergeCell ref="C59:D59"/>
    <mergeCell ref="C66:D66"/>
    <mergeCell ref="C73:D73"/>
    <mergeCell ref="C64:D64"/>
    <mergeCell ref="C68:D68"/>
    <mergeCell ref="C65:D65"/>
    <mergeCell ref="C57:D57"/>
    <mergeCell ref="C58:D58"/>
    <mergeCell ref="C67:D67"/>
    <mergeCell ref="C69:D69"/>
    <mergeCell ref="C61:D61"/>
    <mergeCell ref="C60:D60"/>
    <mergeCell ref="C165:D165"/>
    <mergeCell ref="A100:F100"/>
    <mergeCell ref="C162:D162"/>
    <mergeCell ref="C138:D138"/>
    <mergeCell ref="A137:G137"/>
    <mergeCell ref="A93:F93"/>
    <mergeCell ref="C218:D218"/>
    <mergeCell ref="C199:D199"/>
    <mergeCell ref="C144:D144"/>
    <mergeCell ref="C191:D191"/>
  </mergeCells>
  <hyperlinks>
    <hyperlink ref="G18" r:id="rId1"/>
    <hyperlink ref="G19" r:id="rId2"/>
    <hyperlink ref="G20" r:id="rId3"/>
    <hyperlink ref="G47" r:id="rId4"/>
    <hyperlink ref="G50" r:id="rId5"/>
    <hyperlink ref="G51" r:id="rId6"/>
    <hyperlink ref="G78" r:id="rId7"/>
    <hyperlink ref="G92" r:id="rId8"/>
    <hyperlink ref="G93" r:id="rId9"/>
    <hyperlink ref="G99" r:id="rId10"/>
    <hyperlink ref="G100" r:id="rId11"/>
    <hyperlink ref="G200" r:id="rId12"/>
    <hyperlink ref="G202" r:id="rId13"/>
    <hyperlink ref="G203" r:id="rId14"/>
    <hyperlink ref="G204" r:id="rId15"/>
    <hyperlink ref="G210" r:id="rId16"/>
    <hyperlink ref="G215" r:id="rId17"/>
    <hyperlink ref="G216" r:id="rId18"/>
    <hyperlink ref="G217" r:id="rId19"/>
    <hyperlink ref="G218" r:id="rId20"/>
    <hyperlink ref="G219" r:id="rId21"/>
    <hyperlink ref="G220" r:id="rId22"/>
    <hyperlink ref="G221" r:id="rId23"/>
    <hyperlink ref="G222" r:id="rId24"/>
    <hyperlink ref="G223" r:id="rId25"/>
    <hyperlink ref="G224" r:id="rId26"/>
    <hyperlink ref="G225" r:id="rId27"/>
    <hyperlink ref="G226" r:id="rId28"/>
    <hyperlink ref="G227" r:id="rId29"/>
    <hyperlink ref="G228" r:id="rId30"/>
    <hyperlink ref="G229" r:id="rId31"/>
    <hyperlink ref="I5" r:id="rId32" display="https://www.tme.eu/de/details/cl21b104kbcnnnc/kondensatoren-mlcc-smd-0805/samsung/"/>
    <hyperlink ref="I27" r:id="rId33" display="https://www.tme.eu/de/details/cl21b104kbcnnnc/kondensatoren-mlcc-smd-0805/samsung/"/>
    <hyperlink ref="I85" r:id="rId34" display="https://www.tme.eu/de/details/cl21b104kbcnnnc/kondensatoren-mlcc-smd-0805/samsung/"/>
    <hyperlink ref="I91" r:id="rId35" display="https://www.tme.eu/de/details/mc5-1n5/polyesterkondensatoren-tht/kemet/r82ec1150dq50k/"/>
    <hyperlink ref="I96" r:id="rId36" display="https://www.tme.eu/de/details/dg403dj/analoge-multiplexer-und-schalter/vishay/dg403dj-e3/"/>
    <hyperlink ref="I115" r:id="rId37" display="https://www.tme.eu/de/details/mf0207fte-30k/metallisierte-widerstaende-tht-06w/yageo/"/>
    <hyperlink ref="I110" r:id="rId38" display="https://www.tme.eu/de/details/m0.6w-100k/metallisierte-widerstaende-tht-06w/royal-ohm/mf006ff1003a50/"/>
    <hyperlink ref="I120" r:id="rId39" display="https://www.tme.eu/de/details/m0.6w-100k/metallisierte-widerstaende-tht-06w/royal-ohm/mf006ff1003a50/"/>
    <hyperlink ref="I129" r:id="rId40" display="https://www.tme.eu/de/details/m0.6w-100k/metallisierte-widerstaende-tht-06w/royal-ohm/mf006ff1003a50/"/>
    <hyperlink ref="I131" r:id="rId41" display="https://www.tme.eu/de/details/mf0207fte-499r/metallisierte-widerstaende-tht-06w/yageo/mf0207fte52-499r/"/>
    <hyperlink ref="I90" r:id="rId42" display="https://www.tme.eu/de/details/c317c101j2g5ta7301/kondensatoren-mlcc-tht/kemet/"/>
  </hyperlink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DD-BOM-REV1.0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Joericke, Patrick (EXTERN: BERIS)</cp:lastModifiedBy>
  <dcterms:modified xsi:type="dcterms:W3CDTF">2017-10-05T14:13:27Z</dcterms:modified>
</cp:coreProperties>
</file>